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README" sheetId="1" r:id="rId5"/>
    <sheet state="visible" name="_Schema" sheetId="2" r:id="rId6"/>
    <sheet state="visible" name="Industry" sheetId="3" r:id="rId7"/>
    <sheet state="visible" name="ActivityGroup" sheetId="4" r:id="rId8"/>
    <sheet state="visible" name="EmissionSource" sheetId="5" r:id="rId9"/>
    <sheet state="hidden" name="EmissionFactor" sheetId="6" r:id="rId10"/>
  </sheets>
  <definedNames>
    <definedName hidden="1" localSheetId="1" name="_xlnm._FilterDatabase">'_Schema'!$A$1:$H$63</definedName>
  </definedNames>
  <calcPr/>
</workbook>
</file>

<file path=xl/sharedStrings.xml><?xml version="1.0" encoding="utf-8"?>
<sst xmlns="http://schemas.openxmlformats.org/spreadsheetml/2006/main" count="1224" uniqueCount="620">
  <si>
    <t>วันที่อัพเดต</t>
  </si>
  <si>
    <t>2026-03-12</t>
  </si>
  <si>
    <t>📋 Industry</t>
  </si>
  <si>
    <t>13 อุตสาหกรรมตาม IAF MD14 รวม examples ของแต่ละ sector</t>
  </si>
  <si>
    <t>📋 ActivityGroup</t>
  </si>
  <si>
    <t>กลุ่มกิจกรรม GHG กว้างๆ</t>
  </si>
  <si>
    <t>📋 EmissionSource</t>
  </si>
  <si>
    <t>Emission Source (= Sub-Category ใน Ched's file)
- FULL EXAMPLE: Industry 2 ทุก source
- Industries 1,3–13: sample 3-4 source</t>
  </si>
  <si>
    <r>
      <rPr>
        <rFont val="Arimo"/>
        <b/>
        <color theme="1"/>
        <sz val="10.0"/>
      </rPr>
      <t>is_default_checked</t>
    </r>
    <r>
      <rPr>
        <rFont val="Calibri"/>
        <b val="0"/>
        <color theme="1"/>
        <sz val="11.0"/>
      </rPr>
      <t xml:space="preserve"> คือ flag บน EmissionSource ที่บอกว่า source นี้จะถูก </t>
    </r>
    <r>
      <rPr>
        <rFont val="Calibri"/>
        <b/>
        <color theme="1"/>
        <sz val="11.0"/>
      </rPr>
      <t>pre-check ไว้ให้อัตโนมัติ</t>
    </r>
    <r>
      <rPr>
        <rFont val="Calibri"/>
        <b val="0"/>
        <color theme="1"/>
        <sz val="11.0"/>
      </rPr>
      <t xml:space="preserve"> ตอนที่ org เลือก industry preset</t>
    </r>
  </si>
  <si>
    <r>
      <rPr>
        <rFont val="Calibri"/>
        <b/>
        <color theme="1"/>
        <sz val="11.0"/>
      </rPr>
      <t>ตัวอย่าง:</t>
    </r>
    <r>
      <rPr>
        <rFont val="Calibri"/>
        <b val="0"/>
        <color theme="1"/>
        <sz val="11.0"/>
      </rPr>
      <t xml:space="preserve"> org เลือก Industry 2 (General Manufacturing) → ระบบโหลด preset → หน้า onboarding แสดง checklist แบบนี้</t>
    </r>
  </si>
  <si>
    <t>ActivityGroup: การเผาไหม้จากหม้อไอน้ำ</t>
  </si>
  <si>
    <t xml:space="preserve">  ☑ ก๊าซหุงต้ม (LPG)          ← is_default_checked = TRUE</t>
  </si>
  <si>
    <t xml:space="preserve">  ☑ ก๊าซธรรมชาติ              ← is_default_checked = TRUE</t>
  </si>
  <si>
    <t xml:space="preserve">  ☑ น้ำมันดีเซล               ← is_default_checked = TRUE</t>
  </si>
  <si>
    <t xml:space="preserve">  ☐ น้ำมันเตา                 ← is_default_checked = FALSE</t>
  </si>
  <si>
    <t xml:space="preserve">  ☐ ถ่านหิน                   ← is_default_checked = FALSE</t>
  </si>
  <si>
    <t xml:space="preserve">  ☐ ชีวมวล (Biomass)          ← is_default_checked = FALSE</t>
  </si>
  <si>
    <t>Entity</t>
  </si>
  <si>
    <t>Column</t>
  </si>
  <si>
    <t>Type</t>
  </si>
  <si>
    <t>PK</t>
  </si>
  <si>
    <t>FK → Table</t>
  </si>
  <si>
    <t>Nullable</t>
  </si>
  <si>
    <t>Description (EN)</t>
  </si>
  <si>
    <t>หมายเหตุ (TH)</t>
  </si>
  <si>
    <t>Industry</t>
  </si>
  <si>
    <t>industry_id</t>
  </si>
  <si>
    <t>INT (auto)</t>
  </si>
  <si>
    <t>✓</t>
  </si>
  <si>
    <t>N</t>
  </si>
  <si>
    <t>Primary key</t>
  </si>
  <si>
    <t>PK ของตาราง Industry</t>
  </si>
  <si>
    <t>name_th</t>
  </si>
  <si>
    <t>VARCHAR(120)</t>
  </si>
  <si>
    <t>Industry name in Thai</t>
  </si>
  <si>
    <t>ชื่ออุตสาหกรรม ภาษาไทย</t>
  </si>
  <si>
    <t>name_en</t>
  </si>
  <si>
    <t>Industry name in English</t>
  </si>
  <si>
    <t>ชื่ออุตสาหกรรม ภาษาอังกฤษ</t>
  </si>
  <si>
    <t>Examples</t>
  </si>
  <si>
    <t>VARCHAR</t>
  </si>
  <si>
    <t>Y</t>
  </si>
  <si>
    <t>Example of activities included</t>
  </si>
  <si>
    <t>ตัวอย่างของกิจกรรมที่คอรบคลุม</t>
  </si>
  <si>
    <t>is_active</t>
  </si>
  <si>
    <t>BOOLEAN</t>
  </si>
  <si>
    <t>Show in platform dropdown</t>
  </si>
  <si>
    <t>แสดงใน dropdown หรือไม่</t>
  </si>
  <si>
    <t>ActivityGroup</t>
  </si>
  <si>
    <t>activity_group_id</t>
  </si>
  <si>
    <t>PK ของตาราง ActivityGroup</t>
  </si>
  <si>
    <t>INT</t>
  </si>
  <si>
    <t>FK → Industry (null = common/all)</t>
  </si>
  <si>
    <t>FK ไป Industry (null = ใช้ทุก industry)</t>
  </si>
  <si>
    <t>VARCHAR(200)</t>
  </si>
  <si>
    <t>Activity group name in Thai (from ภาคผนวก 5 col 2)</t>
  </si>
  <si>
    <t>ชื่อกลุ่มกิจกรรม เช่น การใช้สารทำความเย็น</t>
  </si>
  <si>
    <t>Activity group name in English</t>
  </si>
  <si>
    <t>ชื่อกลุ่มกิจกรรม ภาษาอังกฤษ</t>
  </si>
  <si>
    <t>scope</t>
  </si>
  <si>
    <t>TINYINT</t>
  </si>
  <si>
    <t>GHG Scope (1 / 2 / 3)</t>
  </si>
  <si>
    <t>Scope 1 / 2 / 3</t>
  </si>
  <si>
    <t>category</t>
  </si>
  <si>
    <t>VARCHAR(100)</t>
  </si>
  <si>
    <t>GHG Protocol category</t>
  </si>
  <si>
    <t>หมวดหมู่ GHG Protocol</t>
  </si>
  <si>
    <t>subcategory</t>
  </si>
  <si>
    <t>Sub-category detail (optional)</t>
  </si>
  <si>
    <t>หมวดหมู่ย่อย (ถ้ามี)</t>
  </si>
  <si>
    <t>is_common</t>
  </si>
  <si>
    <t>Shown for all industries by default</t>
  </si>
  <si>
    <t>กิจกรรมพื้นฐานที่ทุก industry มีโดย default</t>
  </si>
  <si>
    <t>sort_order</t>
  </si>
  <si>
    <t>Display order within scope/category</t>
  </si>
  <si>
    <t>ลำดับการแสดงผล</t>
  </si>
  <si>
    <t>status</t>
  </si>
  <si>
    <t>VARCHAR(20)</t>
  </si>
  <si>
    <t>active / draft / deprecated</t>
  </si>
  <si>
    <t>สถานะ record</t>
  </si>
  <si>
    <t>EmissionSource</t>
  </si>
  <si>
    <t>source_id</t>
  </si>
  <si>
    <t>PK ของตาราง EmissionSource</t>
  </si>
  <si>
    <t>FK → ActivityGroup</t>
  </si>
  <si>
    <t>FK ไป ActivityGroup</t>
  </si>
  <si>
    <t>Emission source name in Thai (= Sub-Category in Ched's file)</t>
  </si>
  <si>
    <t>ชื่อ emission source เช่น LPG, HFC-134a</t>
  </si>
  <si>
    <t>Emission source name in English</t>
  </si>
  <si>
    <t>ชื่อภาษาอังกฤษ</t>
  </si>
  <si>
    <t>default_unit</t>
  </si>
  <si>
    <t>VARCHAR(30)</t>
  </si>
  <si>
    <t>Primary unit (liter, kg, kWh, etc.)</t>
  </si>
  <si>
    <t>หน่วยหลักที่ใช้กรอก</t>
  </si>
  <si>
    <t>is_default_checked</t>
  </si>
  <si>
    <t>Pre-checked in org onboarding preset</t>
  </si>
  <si>
    <t>ถูก check ไว้ default ใน preset</t>
  </si>
  <si>
    <t>Display order within activity group</t>
  </si>
  <si>
    <t>ลำดับภายใน ActivityGroup</t>
  </si>
  <si>
    <t>notes</t>
  </si>
  <si>
    <t>TEXT</t>
  </si>
  <si>
    <t>Extra info / mapping notes</t>
  </si>
  <si>
    <t>หมายเหตุเพิ่มเติม</t>
  </si>
  <si>
    <t>EmissionFactor</t>
  </si>
  <si>
    <t>ef_id</t>
  </si>
  <si>
    <t>PK ของตาราง EmissionFactor</t>
  </si>
  <si>
    <t>FK → EmissionSource</t>
  </si>
  <si>
    <t>FK ไป EmissionSource</t>
  </si>
  <si>
    <t>factor_value</t>
  </si>
  <si>
    <t>DECIMAL(18,8)</t>
  </si>
  <si>
    <t>Emission factor numeric value</t>
  </si>
  <si>
    <t>ค่า EF ตัวเลข</t>
  </si>
  <si>
    <t>unit</t>
  </si>
  <si>
    <t>VARCHAR(40)</t>
  </si>
  <si>
    <t>Unit string (kgCO2e/liter, etc.)</t>
  </si>
  <si>
    <t>หน่วยของ EF</t>
  </si>
  <si>
    <t>source_doc</t>
  </si>
  <si>
    <t>Reference document (TGO 2023, IPCC)</t>
  </si>
  <si>
    <t>เอกสารอ้างอิง</t>
  </si>
  <si>
    <t>year</t>
  </si>
  <si>
    <t>SMALLINT</t>
  </si>
  <si>
    <t>Reference year of EF</t>
  </si>
  <si>
    <t>ปีที่ใช้ค่า EF</t>
  </si>
  <si>
    <t>GHG Scope (1/2/3)</t>
  </si>
  <si>
    <t>Scope 1/2/3 ของ EF นี้</t>
  </si>
  <si>
    <t>gwp_standard</t>
  </si>
  <si>
    <t>GWP standard (AR5, AR6)</t>
  </si>
  <si>
    <t>มาตรฐาน GWP ที่ใช้</t>
  </si>
  <si>
    <t>Additional notes</t>
  </si>
  <si>
    <t>หมายเหตุ</t>
  </si>
  <si>
    <t>OrgActivityConfig</t>
  </si>
  <si>
    <t>config_id</t>
  </si>
  <si>
    <t>org_id</t>
  </si>
  <si>
    <t>Org (external)</t>
  </si>
  <si>
    <t>FK → Organisation table (external)</t>
  </si>
  <si>
    <t>FK ไป Organisation</t>
  </si>
  <si>
    <t>FK → EmissionSource being configured</t>
  </si>
  <si>
    <t>FK ไป EmissionSource ที่ configure</t>
  </si>
  <si>
    <t>FALSE = user unchecked this source (store exception only)</t>
  </si>
  <si>
    <t>false = user uncheck; สร้าง row เฉพาะตอน uncheck</t>
  </si>
  <si>
    <t>Override EF for this org (null = use default)</t>
  </si>
  <si>
    <t>Override EF (null = ใช้ default EF)</t>
  </si>
  <si>
    <t>ef_unit_override</t>
  </si>
  <si>
    <t>Unit override for this org</t>
  </si>
  <si>
    <t>Override หน่วย (null = ใช้ default unit)</t>
  </si>
  <si>
    <t>updated_at</t>
  </si>
  <si>
    <t>DATETIME</t>
  </si>
  <si>
    <t>Last config updated timestamp</t>
  </si>
  <si>
    <t>เวลาอัพเดตล่าสุด</t>
  </si>
  <si>
    <t>ActivityEntry</t>
  </si>
  <si>
    <t>entry_id</t>
  </si>
  <si>
    <t>FK → Organisation</t>
  </si>
  <si>
    <t>FK → EmissionSource (drives EF lookup)</t>
  </si>
  <si>
    <t>label_detail</t>
  </si>
  <si>
    <t>Optional user detail appended to ActivityGroup label (e.g. building name)</t>
  </si>
  <si>
    <t>รายละเอียดเพิ่มเติมที่ user พิมพ์ เช่น ชื่ออาคาร (nullable)</t>
  </si>
  <si>
    <t>reporting_year</t>
  </si>
  <si>
    <t>Reporting year (BE or CE — specify)</t>
  </si>
  <si>
    <t>ปีที่รายงาน</t>
  </si>
  <si>
    <t>responsible_person</t>
  </si>
  <si>
    <t>Person responsible for filling this row</t>
  </si>
  <si>
    <t>ผู้กรอกข้อมูล</t>
  </si>
  <si>
    <t>jan</t>
  </si>
  <si>
    <t>DECIMAL(18,4)</t>
  </si>
  <si>
    <t>January consumption</t>
  </si>
  <si>
    <t>ข้อมูลเดือน ม.ค.</t>
  </si>
  <si>
    <t>feb</t>
  </si>
  <si>
    <t>February consumption</t>
  </si>
  <si>
    <t>ข้อมูลเดือน ก.พ.</t>
  </si>
  <si>
    <t>mar</t>
  </si>
  <si>
    <t>March consumption</t>
  </si>
  <si>
    <t>ข้อมูลเดือน มี.ค.</t>
  </si>
  <si>
    <t>apr</t>
  </si>
  <si>
    <t>April consumption</t>
  </si>
  <si>
    <t>ข้อมูลเดือน เม.ย.</t>
  </si>
  <si>
    <t>may</t>
  </si>
  <si>
    <t>May consumption</t>
  </si>
  <si>
    <t>ข้อมูลเดือน พ.ค.</t>
  </si>
  <si>
    <t>jun</t>
  </si>
  <si>
    <t>June consumption</t>
  </si>
  <si>
    <t>ข้อมูลเดือน มิ.ย.</t>
  </si>
  <si>
    <t>jul</t>
  </si>
  <si>
    <t>July consumption</t>
  </si>
  <si>
    <t>ข้อมูลเดือน ก.ค.</t>
  </si>
  <si>
    <t>aug</t>
  </si>
  <si>
    <t>August consumption</t>
  </si>
  <si>
    <t>ข้อมูลเดือน ส.ค.</t>
  </si>
  <si>
    <t>sep</t>
  </si>
  <si>
    <t>September consumption</t>
  </si>
  <si>
    <t>ข้อมูลเดือน ก.ย.</t>
  </si>
  <si>
    <t>oct</t>
  </si>
  <si>
    <t>October consumption</t>
  </si>
  <si>
    <t>ข้อมูลเดือน ต.ค.</t>
  </si>
  <si>
    <t>nov</t>
  </si>
  <si>
    <t>November consumption</t>
  </si>
  <si>
    <t>ข้อมูลเดือน พ.ย.</t>
  </si>
  <si>
    <t>dec</t>
  </si>
  <si>
    <t>December consumption</t>
  </si>
  <si>
    <t>ข้อมูลเดือน ธ.ค.</t>
  </si>
  <si>
    <t>emission_tCO2e</t>
  </si>
  <si>
    <t>DECIMAL(18,6)</t>
  </si>
  <si>
    <t>Calculated total emission (formula: SUM(jan–dec) × EF value / 1000)</t>
  </si>
  <si>
    <t>ค่า Emission คำนวณ (formula)</t>
  </si>
  <si>
    <t>evidence_file</t>
  </si>
  <si>
    <t>VARCHAR(500)</t>
  </si>
  <si>
    <t>Path / URL to evidence file</t>
  </si>
  <si>
    <t>path หรือ URL ของเอกสารหลักฐาน</t>
  </si>
  <si>
    <t>Free-text notes</t>
  </si>
  <si>
    <t>created_at</t>
  </si>
  <si>
    <t>Record creation timestamp</t>
  </si>
  <si>
    <t>เวลาสร้าง record</t>
  </si>
  <si>
    <t>Last updated timestamp</t>
  </si>
  <si>
    <t>industry_id [PK]</t>
  </si>
  <si>
    <t>examples</t>
  </si>
  <si>
    <t>การผลิตพลังงานและการจัดการพลังงานไฟฟ้า</t>
  </si>
  <si>
    <t>Power Generation</t>
  </si>
  <si>
    <t>• Energy production and conversion of electrical energy
• Electric power transactions</t>
  </si>
  <si>
    <t>อุตสาหกรรมการผลิตทั่วไป</t>
  </si>
  <si>
    <t>General Manufacturing</t>
  </si>
  <si>
    <t>• Physical or chemical transformation of materials into new products
• Manufacturing not covered in specific sectors below</t>
  </si>
  <si>
    <t>การสำรวจ การผลิต การกลั่นน้ำมันปิโตรเลียมและก๊าซและการจัดส่งทางท่อ รวมถึงอุตสาหกรรมปิโตรเคมี</t>
  </si>
  <si>
    <t>Oil and Gas</t>
  </si>
  <si>
    <t>• Exploration, extraction, production, refining and pipeline distribution of oil and gas</t>
  </si>
  <si>
    <t>อุตสาหกรรมการผลิตโลหะ</t>
  </si>
  <si>
    <t>Metals Production</t>
  </si>
  <si>
    <t>• Processing of non-ferrous metals, including production of alloys
• Production of coke
• Metal ore roasting or sintering, including pelletisation
• Production of pig iron or steel including continuous casting</t>
  </si>
  <si>
    <t>อุตสาหกรรมการผลิตอะลูมิเนียม</t>
  </si>
  <si>
    <t>Aluminum Production</t>
  </si>
  <si>
    <t>• Primary aluminium production</t>
  </si>
  <si>
    <t>การทำเหมืองและการผลิตแร่</t>
  </si>
  <si>
    <t>Mining and Mineral Production</t>
  </si>
  <si>
    <t>• Production of cement clinker and production of lime or calcinations of dolomite or magnetite
• Glass and ceramic, mineral wool</t>
  </si>
  <si>
    <t>อุตสาหกรรมการผลิตเยื่อกระดาษ กระดาษ และการพิมพ์</t>
  </si>
  <si>
    <t>Pulp, Paper and Print</t>
  </si>
  <si>
    <t>• Production of pulp from timber or other fibrous materials
• Production of paper and cardboard
• Printing and publishing</t>
  </si>
  <si>
    <t>อุตสาหกรรมการผลิตสารเคมี</t>
  </si>
  <si>
    <t>Chemical Production</t>
  </si>
  <si>
    <t>• Production of carbon black, ammonia, soda ash, and sodium bicarbonate
• Production of bulk organic chemicals by cracking, reforming, etc.
• Production of hydrogen and synthesis gas
• Production of nitric, adipic, glyoxal and glyoxylic acid</t>
  </si>
  <si>
    <t>การดักจับและเก็บก๊าซเรือนกระจก</t>
  </si>
  <si>
    <t>Carbon Capture Storage</t>
  </si>
  <si>
    <t>• Capture and transport of GHG by pipelines for geological storage
• Geological storage of GHG in a storage site</t>
  </si>
  <si>
    <t>การขนส่ง</t>
  </si>
  <si>
    <t>Transport</t>
  </si>
  <si>
    <t>• Aviation
• Road transport, rail, and other transportation services</t>
  </si>
  <si>
    <t>การจัดการและกำจัดของเสีย</t>
  </si>
  <si>
    <t>Waste Handling &amp; Disposal</t>
  </si>
  <si>
    <t>• Water and waste water treatment
• Landfill and Composting Facilities</t>
  </si>
  <si>
    <t>การเกษตร ป่าไม้ และการใช้ที่ดิน</t>
  </si>
  <si>
    <t>Agriculture, Forestry &amp; Other Land Use (AFOLU)</t>
  </si>
  <si>
    <t>• Farming, forestry, and land use activities (emissions from biological processes)</t>
  </si>
  <si>
    <t>กิจกรรมการบริการทั่วไป</t>
  </si>
  <si>
    <t>General Services</t>
  </si>
  <si>
    <t>• Building Services / facilities management
• Education, Hospitals
• Others (Office-based activities, IT, retail, etc.)</t>
  </si>
  <si>
    <t>activity_group_id [PK]</t>
  </si>
  <si>
    <t>industry_id [FK]</t>
  </si>
  <si>
    <t xml:space="preserve">  ✦ Industry 2: General Manufacturing — sample (12 rows)</t>
  </si>
  <si>
    <t>การเผาไหม้จากหม้อไอน้ำและเครื่องกำเนิดไฟฟ้า</t>
  </si>
  <si>
    <t>Boiler &amp; Generator Combustion</t>
  </si>
  <si>
    <t>Stationary Combustion</t>
  </si>
  <si>
    <t>active</t>
  </si>
  <si>
    <t>การเผาไหม้จากยานพาหนะขององค์กร</t>
  </si>
  <si>
    <t>Company Vehicle Combustion</t>
  </si>
  <si>
    <t>Mobile Combustion</t>
  </si>
  <si>
    <t>การใช้สารทำความเย็น</t>
  </si>
  <si>
    <t>Refrigerant</t>
  </si>
  <si>
    <t>Fugitive Emissions</t>
  </si>
  <si>
    <t>กระบวนการผลิต (Process Emissions)</t>
  </si>
  <si>
    <t>Industrial Process Emissions</t>
  </si>
  <si>
    <t>Process Emissions</t>
  </si>
  <si>
    <t>การใช้ไฟฟ้าจากระบบสายส่ง</t>
  </si>
  <si>
    <t>Purchased Electricity</t>
  </si>
  <si>
    <t>การใช้ไอน้ำ/ความร้อนจากภายนอก</t>
  </si>
  <si>
    <t>Purchased Steam &amp; Heat</t>
  </si>
  <si>
    <t>Purchased Energy</t>
  </si>
  <si>
    <t>การเดินทางเพื่อธุรกิจ</t>
  </si>
  <si>
    <t>Business Travel</t>
  </si>
  <si>
    <t>Cat 6: Business Travel</t>
  </si>
  <si>
    <t>การเดินทางของพนักงาน (Commute)</t>
  </si>
  <si>
    <t>Employee Commuting</t>
  </si>
  <si>
    <t>Cat 7: Employee Commuting</t>
  </si>
  <si>
    <t>การจัดการของเสีย</t>
  </si>
  <si>
    <t>Waste Generation</t>
  </si>
  <si>
    <t>Cat 5: Waste Generated in Operations</t>
  </si>
  <si>
    <t>การใช้น้ำประปา/น้ำดิบ</t>
  </si>
  <si>
    <t>Water Consumption</t>
  </si>
  <si>
    <t>Cat 1: Purchased Goods &amp; Services</t>
  </si>
  <si>
    <t>การซื้อสินค้าและวัตถุดิบ (upstream)</t>
  </si>
  <si>
    <t>Purchased Raw Materials &amp; Goods</t>
  </si>
  <si>
    <t>การขนส่งและกระจายสินค้า (upstream)</t>
  </si>
  <si>
    <t>Upstream Transport &amp; Distribution</t>
  </si>
  <si>
    <t>Cat 4: Upstream T&amp;D</t>
  </si>
  <si>
    <t xml:space="preserve">  Industry 1: Power Generation — sample (3 rows)</t>
  </si>
  <si>
    <t>การเผาไหม้เชื้อเพลิงเพื่อผลิตไฟฟ้า</t>
  </si>
  <si>
    <t>Fuel Combustion for Power Generation</t>
  </si>
  <si>
    <t>การปล่อยก๊าซจากกระบวนการผลิตไฟฟ้า</t>
  </si>
  <si>
    <t>Process Emissions (Power Generation)</t>
  </si>
  <si>
    <t>การใช้ไฟฟ้าภายใน (Auxiliary load)</t>
  </si>
  <si>
    <t>Auxiliary Power Consumption</t>
  </si>
  <si>
    <t xml:space="preserve">  Industry 3: Oil and Gas — sample (3 rows)</t>
  </si>
  <si>
    <t>การเผาไหม้จากการสำรวจและผลิต</t>
  </si>
  <si>
    <t>Upstream Combustion</t>
  </si>
  <si>
    <t>การปล่อย Fugitive จากท่อและวาล์ว</t>
  </si>
  <si>
    <t>Fugitive Emissions – Pipelines</t>
  </si>
  <si>
    <t>การเผาทิ้ง (Flaring)</t>
  </si>
  <si>
    <t>Flaring</t>
  </si>
  <si>
    <t xml:space="preserve">  Industry 4: Metals Production — sample (3 rows)</t>
  </si>
  <si>
    <t>เตาหลอมโลหะ (Furnace Combustion)</t>
  </si>
  <si>
    <t>Furnace Combustion</t>
  </si>
  <si>
    <t>กระบวนการผลิตโลหะ (Direct Process)</t>
  </si>
  <si>
    <t>Metal Process Emissions</t>
  </si>
  <si>
    <t>การใช้ไฟฟ้า (Electric Arc Furnace)</t>
  </si>
  <si>
    <t>Electric Arc Furnace Power Use</t>
  </si>
  <si>
    <t xml:space="preserve">  Industry 5: Aluminum Production — sample (3 rows)</t>
  </si>
  <si>
    <t>กระบวนการ Electrolysis</t>
  </si>
  <si>
    <t>Electrolysis Process Emissions</t>
  </si>
  <si>
    <t>PFC</t>
  </si>
  <si>
    <t>การเผาไหม้สำหรับ Anode baking</t>
  </si>
  <si>
    <t>Anode Baking Combustion</t>
  </si>
  <si>
    <t>การใช้ไฟฟ้า (Smelting)</t>
  </si>
  <si>
    <t>Smelting Electricity Use</t>
  </si>
  <si>
    <t xml:space="preserve">  Industry 6: Mining &amp; Mineral — sample (3 rows)</t>
  </si>
  <si>
    <t>การเผาไหม้จากเครื่องจักรเหมือง</t>
  </si>
  <si>
    <t>Mining Equipment Combustion</t>
  </si>
  <si>
    <t>กระบวนการผลิตซีเมนต์/ปูนขาว</t>
  </si>
  <si>
    <t>Cement/Lime Process Emissions</t>
  </si>
  <si>
    <t>การใช้ไฟฟ้า</t>
  </si>
  <si>
    <t>Electricity Use</t>
  </si>
  <si>
    <t xml:space="preserve">  Industry 7: Pulp, Paper &amp; Print — sample (3 rows)</t>
  </si>
  <si>
    <t>การเผาไหม้ Biomass</t>
  </si>
  <si>
    <t>Biomass Combustion</t>
  </si>
  <si>
    <t>Biogenic</t>
  </si>
  <si>
    <t>กระบวนการ Kraft pulping</t>
  </si>
  <si>
    <t>Chemical Pulping Process</t>
  </si>
  <si>
    <t xml:space="preserve">  Industry 8: Chemical Production — sample (3 rows)</t>
  </si>
  <si>
    <t>กระบวนการผลิตสารเคมี</t>
  </si>
  <si>
    <t>Chemical Process Emissions</t>
  </si>
  <si>
    <t>การเผาไหม้เชื้อเพลิงในโรงงาน</t>
  </si>
  <si>
    <t>Process Fuel Combustion</t>
  </si>
  <si>
    <t xml:space="preserve">  Industry 9: Carbon Capture Storage — sample (3 rows)</t>
  </si>
  <si>
    <t>การปล่อยก๊าซจากการดักจับ CO₂</t>
  </si>
  <si>
    <t>CO₂ Capture &amp; Compression</t>
  </si>
  <si>
    <t>การใช้ไฟฟ้าในกระบวนการดักจับ</t>
  </si>
  <si>
    <t>CCS Auxiliary Electricity Use</t>
  </si>
  <si>
    <t>การเดินทาง / ยานพาหนะ</t>
  </si>
  <si>
    <t>Company Vehicle Use</t>
  </si>
  <si>
    <t xml:space="preserve">  Industry 10: Transport — sample (3 rows)</t>
  </si>
  <si>
    <t>การเผาไหม้เชื้อเพลิงในยานพาหนะ</t>
  </si>
  <si>
    <t>Vehicle Fuel Combustion</t>
  </si>
  <si>
    <t>การเผาไหม้เชื้อเพลิง Aviation</t>
  </si>
  <si>
    <t>Aviation Combustion</t>
  </si>
  <si>
    <t>Aviation</t>
  </si>
  <si>
    <t>การใช้ไฟฟ้า (สถานี/อาคาร)</t>
  </si>
  <si>
    <t>Station &amp; Building Electricity</t>
  </si>
  <si>
    <t xml:space="preserve">  Industry 11: Waste Handling — sample (3 rows)</t>
  </si>
  <si>
    <t>การปล่อยก๊าซจาก Landfill</t>
  </si>
  <si>
    <t>Landfill Gas Emissions</t>
  </si>
  <si>
    <t>กระบวนการบำบัดน้ำเสีย</t>
  </si>
  <si>
    <t>Wastewater Treatment Process</t>
  </si>
  <si>
    <t>การใช้ไฟฟ้าในกระบวนการ</t>
  </si>
  <si>
    <t>Process Electricity Use</t>
  </si>
  <si>
    <t xml:space="preserve">  Industry 12: AFOLU — sample (3 rows)</t>
  </si>
  <si>
    <t>การเผาไหม้ในการเกษตร (Field burning)</t>
  </si>
  <si>
    <t>Agricultural Field Burning</t>
  </si>
  <si>
    <t>การหมักย่อย Enteric fermentation</t>
  </si>
  <si>
    <t>Enteric Fermentation (Livestock)</t>
  </si>
  <si>
    <t>Biological</t>
  </si>
  <si>
    <t>การใช้ปุ๋ย / N₂O จากดิน</t>
  </si>
  <si>
    <t>Soil N₂O Emissions</t>
  </si>
  <si>
    <t>N2O</t>
  </si>
  <si>
    <t xml:space="preserve">  Industry 13: General Services — sample (3 rows)</t>
  </si>
  <si>
    <t>การใช้ไฟฟ้าในอาคาร</t>
  </si>
  <si>
    <t>Building Electricity Use</t>
  </si>
  <si>
    <t>การเดินทางของพนักงาน</t>
  </si>
  <si>
    <t>source_id [PK]</t>
  </si>
  <si>
    <t>activity_group_id [FK]</t>
  </si>
  <si>
    <t xml:space="preserve">  ✦ Industry 2: General Manufacturing — FULL EXAMPLE (33 sources)</t>
  </si>
  <si>
    <t>ก๊าซธรรมชาติ (Natural Gas)</t>
  </si>
  <si>
    <t>Natural Gas</t>
  </si>
  <si>
    <t>scf</t>
  </si>
  <si>
    <t>หน่วยอื่น: m³, MJ</t>
  </si>
  <si>
    <t>ก๊าซหุงต้ม (LPG)</t>
  </si>
  <si>
    <t>LPG</t>
  </si>
  <si>
    <t>liter</t>
  </si>
  <si>
    <t>น้ำมันดีเซล</t>
  </si>
  <si>
    <t>Diesel</t>
  </si>
  <si>
    <t>น้ำมันเตา (Fuel Oil)</t>
  </si>
  <si>
    <t>Fuel Oil</t>
  </si>
  <si>
    <t>ถ่านหิน Bituminous</t>
  </si>
  <si>
    <t>Bituminous Coal</t>
  </si>
  <si>
    <t>kg</t>
  </si>
  <si>
    <t>ชีวมวล (Biomass)</t>
  </si>
  <si>
    <t>Biomass</t>
  </si>
  <si>
    <t>Biogenic — รายงานแยกไม่รวม Scope</t>
  </si>
  <si>
    <t>น้ำมันดีเซล (ยานพาหนะ)</t>
  </si>
  <si>
    <t>Diesel (vehicles)</t>
  </si>
  <si>
    <t>Forklift, รถบรรทุก</t>
  </si>
  <si>
    <t>น้ำมันเบนซิน</t>
  </si>
  <si>
    <t>Gasoline / Petrol</t>
  </si>
  <si>
    <t>ก๊าซ NGV / CNG</t>
  </si>
  <si>
    <t>NGV / CNG</t>
  </si>
  <si>
    <t>HFC-134a</t>
  </si>
  <si>
    <t>เครื่องปรับอากาศทั่วไป</t>
  </si>
  <si>
    <t>R-22 (HCFC-22)</t>
  </si>
  <si>
    <t>R-22</t>
  </si>
  <si>
    <t>ระบบเก่า</t>
  </si>
  <si>
    <t>R-410A</t>
  </si>
  <si>
    <t>CO₂ (สารทำความเย็น)</t>
  </si>
  <si>
    <t>CO₂ Refrigerant</t>
  </si>
  <si>
    <t>ระบบ CO₂ trans-critical</t>
  </si>
  <si>
    <t>สารดับเพลิง FM-200 (HFC-227ea)</t>
  </si>
  <si>
    <t>FM-200 (HFC-227ea)</t>
  </si>
  <si>
    <t>ระบบดับเพลิง</t>
  </si>
  <si>
    <t>CO₂ จากกระบวนการเคมี</t>
  </si>
  <si>
    <t>Process CO₂</t>
  </si>
  <si>
    <t>tonne</t>
  </si>
  <si>
    <t>ต้องวัดจากกระบวนการโดยตรง</t>
  </si>
  <si>
    <t>N₂O จากกระบวนการ</t>
  </si>
  <si>
    <t>Process N₂O</t>
  </si>
  <si>
    <t>GWP = 265 (AR5)</t>
  </si>
  <si>
    <t>ไฟฟ้าจาก PEA (ต่างจังหวัด)</t>
  </si>
  <si>
    <t>Electricity – PEA</t>
  </si>
  <si>
    <t>kWh</t>
  </si>
  <si>
    <t>ไฟฟ้าจาก MEA (กทม.)</t>
  </si>
  <si>
    <t>Electricity – MEA</t>
  </si>
  <si>
    <t>ไอน้ำจากภายนอก</t>
  </si>
  <si>
    <t>Purchased Steam</t>
  </si>
  <si>
    <t>MJ</t>
  </si>
  <si>
    <t>ความร้อนจากภายนอก</t>
  </si>
  <si>
    <t>Purchased Heat</t>
  </si>
  <si>
    <t>เครื่องบิน (เส้นทางในประเทศ)</t>
  </si>
  <si>
    <t>Domestic Flight</t>
  </si>
  <si>
    <t>km</t>
  </si>
  <si>
    <t>เครื่องบิน (ระหว่างประเทศ)</t>
  </si>
  <si>
    <t>International Flight</t>
  </si>
  <si>
    <t>รถยนต์ส่วนตัว (เดินทางธุรกิจ)</t>
  </si>
  <si>
    <t>Private Car (business trip)</t>
  </si>
  <si>
    <t>รถยนต์ส่วนตัว (เดินทางไปทำงาน)</t>
  </si>
  <si>
    <t>Private Car (commute)</t>
  </si>
  <si>
    <t>รถสาธารณะ (BTS/MRT/รถเมล์)</t>
  </si>
  <si>
    <t>Public Transit</t>
  </si>
  <si>
    <t>รถจักรยานยนต์</t>
  </si>
  <si>
    <t>Motorcycle</t>
  </si>
  <si>
    <t>ขยะทั่วไป (Landfill)</t>
  </si>
  <si>
    <t>General Waste – Landfill</t>
  </si>
  <si>
    <t>ขยะอินทรีย์ (Composting)</t>
  </si>
  <si>
    <t>Organic Waste – Composting</t>
  </si>
  <si>
    <t>ขยะ Hazardous (Incineration)</t>
  </si>
  <si>
    <t>Hazardous Waste Incineration</t>
  </si>
  <si>
    <t>น้ำประปา (Tap Water)</t>
  </si>
  <si>
    <t>Tap Water</t>
  </si>
  <si>
    <t>m³</t>
  </si>
  <si>
    <t>วัตถุดิบหลัก (เหล็ก, พลาสติก, ฯลฯ)</t>
  </si>
  <si>
    <t>Primary Raw Materials</t>
  </si>
  <si>
    <t>ต้องระบุ material type</t>
  </si>
  <si>
    <t>รถบรรทุก (Truck Freight)</t>
  </si>
  <si>
    <t>Truck Freight</t>
  </si>
  <si>
    <t>tonne-km</t>
  </si>
  <si>
    <t>เรือขนส่ง (Sea Freight)</t>
  </si>
  <si>
    <t>Sea Freight</t>
  </si>
  <si>
    <t xml:space="preserve">  Industry 1: Power Generation — sample</t>
  </si>
  <si>
    <t>ก๊าซธรรมชาติ</t>
  </si>
  <si>
    <t>ถ่านหิน</t>
  </si>
  <si>
    <t>Coal</t>
  </si>
  <si>
    <t>ไฟฟ้าจาก PEA</t>
  </si>
  <si>
    <t>auxiliary load</t>
  </si>
  <si>
    <t xml:space="preserve">  Industry 3: Oil and Gas — sample</t>
  </si>
  <si>
    <t>CH₄ รั่วไหล (Methane Leakage)</t>
  </si>
  <si>
    <t>Methane Leakage</t>
  </si>
  <si>
    <t>fugitive</t>
  </si>
  <si>
    <t>ก๊าซที่เผาทิ้ง (Flare Gas)</t>
  </si>
  <si>
    <t>Flare Gas</t>
  </si>
  <si>
    <t xml:space="preserve">  Industry 4: Metals Production — sample</t>
  </si>
  <si>
    <t>ถ่านหินโค้ก (Coke)</t>
  </si>
  <si>
    <t>Metallurgical Coke</t>
  </si>
  <si>
    <t>CO₂ จากกระบวนการหลอม</t>
  </si>
  <si>
    <t>Process CO₂ (Smelting)</t>
  </si>
  <si>
    <t>EAF</t>
  </si>
  <si>
    <t xml:space="preserve">  Industry 5: Aluminum Production — sample</t>
  </si>
  <si>
    <t>PFC (CF₄, C₂F₆)</t>
  </si>
  <si>
    <t>Perfluorocarbons (PFC)</t>
  </si>
  <si>
    <t>GWP CF4=7390</t>
  </si>
  <si>
    <t>น้ำมันเตา (Anode baking)</t>
  </si>
  <si>
    <t>Fuel Oil – Anode Baking</t>
  </si>
  <si>
    <t>ไฟฟ้า (Smelter)</t>
  </si>
  <si>
    <t>Smelter Electricity</t>
  </si>
  <si>
    <t xml:space="preserve">  Industry 6: Mining &amp; Mineral — sample</t>
  </si>
  <si>
    <t>น้ำมันดีเซล (เครื่องจักรเหมือง)</t>
  </si>
  <si>
    <t>Diesel – Mining Equipment</t>
  </si>
  <si>
    <t>CO₂ จาก Calcination</t>
  </si>
  <si>
    <t>Process CO₂ – Calcination</t>
  </si>
  <si>
    <t xml:space="preserve">  Industry 7: Pulp, Paper &amp; Print — sample</t>
  </si>
  <si>
    <t>ชีวมวล (Biomass boiler)</t>
  </si>
  <si>
    <t>Biomass – Boiler</t>
  </si>
  <si>
    <t>สารเคมี (NaOH, Na₂S)</t>
  </si>
  <si>
    <t>Pulping Chemicals</t>
  </si>
  <si>
    <t>process</t>
  </si>
  <si>
    <t xml:space="preserve">  Industry 8: Chemical Production — sample</t>
  </si>
  <si>
    <t>N₂O จากกระบวนการ Adipic Acid</t>
  </si>
  <si>
    <t>Process N₂O – Adipic Acid</t>
  </si>
  <si>
    <t>GWP=265</t>
  </si>
  <si>
    <t>ก๊าซธรรมชาติ (Process fuel)</t>
  </si>
  <si>
    <t>Natural Gas – Process</t>
  </si>
  <si>
    <t xml:space="preserve">  Industry 9: Carbon Capture Storage — sample</t>
  </si>
  <si>
    <t>CO₂ ที่ดักจับได้ (Negative)</t>
  </si>
  <si>
    <t>Captured CO₂ (negative EF)</t>
  </si>
  <si>
    <t>ค่า EF เป็น negative</t>
  </si>
  <si>
    <t>ไฟฟ้า (compressor/pump)</t>
  </si>
  <si>
    <t>CCS Process Electricity</t>
  </si>
  <si>
    <t>Diesel – Vehicles</t>
  </si>
  <si>
    <t xml:space="preserve">  Industry 10: Transport — sample</t>
  </si>
  <si>
    <t>น้ำมันดีเซล (รถบรรทุก)</t>
  </si>
  <si>
    <t>Diesel – Trucks</t>
  </si>
  <si>
    <t>น้ำมัน Jet A-1</t>
  </si>
  <si>
    <t>Jet Fuel (Jet A-1)</t>
  </si>
  <si>
    <t>ไฟฟ้าจาก PEA (สถานี)</t>
  </si>
  <si>
    <t>Station Electricity – PEA</t>
  </si>
  <si>
    <t xml:space="preserve">  Industry 11: Waste Handling — sample</t>
  </si>
  <si>
    <t>CH₄ จาก Landfill</t>
  </si>
  <si>
    <t>Landfill CH₄</t>
  </si>
  <si>
    <t>GWP=28</t>
  </si>
  <si>
    <t>N₂O จากบำบัดน้ำเสีย</t>
  </si>
  <si>
    <t>Wastewater N₂O</t>
  </si>
  <si>
    <t xml:space="preserve">  Industry 12: AFOLU — sample</t>
  </si>
  <si>
    <t>Biomass เผาในที่โล่ง</t>
  </si>
  <si>
    <t>Open Biomass Burning</t>
  </si>
  <si>
    <t>CH₄ จากการย่อยในกระเพาะ</t>
  </si>
  <si>
    <t>Enteric CH₄</t>
  </si>
  <si>
    <t>N₂O จากดิน (Soil emission)</t>
  </si>
  <si>
    <t>Soil N₂O</t>
  </si>
  <si>
    <t xml:space="preserve">  Industry 13: General Services — sample</t>
  </si>
  <si>
    <t>รถยนต์ส่วนตัว (Commute)</t>
  </si>
  <si>
    <t>Private Car – Commute</t>
  </si>
  <si>
    <t>ef_id [PK]</t>
  </si>
  <si>
    <t>source_id [FK]</t>
  </si>
  <si>
    <t xml:space="preserve">  ✦ Industry 2: General Manufacturing — FULL EXAMPLE (34 EF rows)</t>
  </si>
  <si>
    <t>tCO2e/scf</t>
  </si>
  <si>
    <t>TGO Thailand 2023</t>
  </si>
  <si>
    <t>AR5</t>
  </si>
  <si>
    <t>Natural Gas (pipeline quality)</t>
  </si>
  <si>
    <t>tCO2e/m³</t>
  </si>
  <si>
    <t>Natural Gas – m³ unit</t>
  </si>
  <si>
    <t>kgCO2e/liter</t>
  </si>
  <si>
    <t>Fuel Oil (Heavy)</t>
  </si>
  <si>
    <t>kgCO2e/kg</t>
  </si>
  <si>
    <t>Biogenic – excluded from Scope</t>
  </si>
  <si>
    <t>Biomass: biogenic emission excluded</t>
  </si>
  <si>
    <t>Diesel (vehicle)</t>
  </si>
  <si>
    <t>Gasoline</t>
  </si>
  <si>
    <t>CNG / NGV</t>
  </si>
  <si>
    <t>IPCC AR5 GWP100</t>
  </si>
  <si>
    <t>HFC-134a GWP=1430</t>
  </si>
  <si>
    <t>R-22 GWP=1810</t>
  </si>
  <si>
    <t>R-410A GWP=2088</t>
  </si>
  <si>
    <t>CO2 refrigerant GWP=1</t>
  </si>
  <si>
    <t>HFC-227ea GWP=3220</t>
  </si>
  <si>
    <t>tCO2e/tonne CO2</t>
  </si>
  <si>
    <t>Direct measurement</t>
  </si>
  <si>
    <t>Measured directly from process stack</t>
  </si>
  <si>
    <t>kgCO2e/kg N2O</t>
  </si>
  <si>
    <t>N2O GWP=265</t>
  </si>
  <si>
    <t>kgCO2e/kWh</t>
  </si>
  <si>
    <t>EGAT / TGO Grid Factor 2023</t>
  </si>
  <si>
    <t>Thailand National Grid EF 2023</t>
  </si>
  <si>
    <t>Same national grid EF for MEA area</t>
  </si>
  <si>
    <t>kgCO2e/MJ</t>
  </si>
  <si>
    <t>IPCC 2006 / TGO estimate</t>
  </si>
  <si>
    <t>Approx – adjust per steam source</t>
  </si>
  <si>
    <t>Approx – adjust per heat source</t>
  </si>
  <si>
    <t>kgCO2e/km</t>
  </si>
  <si>
    <t>ICAO Carbon Calculator 2023</t>
  </si>
  <si>
    <t>Economy class, domestic</t>
  </si>
  <si>
    <t>Economy class, international long-haul</t>
  </si>
  <si>
    <t>Average passenger car</t>
  </si>
  <si>
    <t>TGO Thailand 2023 / DEFRA</t>
  </si>
  <si>
    <t>Average public transit (mixed)</t>
  </si>
  <si>
    <t>tCO2e/kg</t>
  </si>
  <si>
    <t>TGO Waste Factor 2023</t>
  </si>
  <si>
    <t>General waste to landfill</t>
  </si>
  <si>
    <t>Organic composting – lower EF</t>
  </si>
  <si>
    <t>Hazardous waste incineration</t>
  </si>
  <si>
    <t>TGO Water Factor 2023</t>
  </si>
  <si>
    <t>Tap water production &amp; treatment</t>
  </si>
  <si>
    <t>Varies by material</t>
  </si>
  <si>
    <t>Must use material-specific EF</t>
  </si>
  <si>
    <t>tCO2e/tonne-km</t>
  </si>
  <si>
    <t>GLEC Framework 2023</t>
  </si>
  <si>
    <t>Road freight average</t>
  </si>
  <si>
    <t>Sea freight average</t>
  </si>
  <si>
    <t>EGAT / TGO Grid 2023</t>
  </si>
  <si>
    <t>Grid electricity</t>
  </si>
  <si>
    <t>kgCO2e/kg CH4</t>
  </si>
  <si>
    <t>CH4 GWP=28</t>
  </si>
  <si>
    <t>Flare gas (treated as Natural Gas)</t>
  </si>
  <si>
    <t>IPCC 2006 Vol 3</t>
  </si>
  <si>
    <t>Metallurgical Coke combustion</t>
  </si>
  <si>
    <t>Process CO2 measured</t>
  </si>
  <si>
    <t>kgCO2e/kg CF4</t>
  </si>
  <si>
    <t>CF4 GWP=7390</t>
  </si>
  <si>
    <t>Diesel – mining equipment</t>
  </si>
  <si>
    <t>Direct measurement – calcination</t>
  </si>
  <si>
    <t>CaCO3→CaO + CO2</t>
  </si>
  <si>
    <t>Biogenic – excluded</t>
  </si>
  <si>
    <t>Biomass combustion</t>
  </si>
  <si>
    <t>tCO2e/tonne</t>
  </si>
  <si>
    <t>Process only – negligible</t>
  </si>
  <si>
    <t>Pulping chemicals</t>
  </si>
  <si>
    <t>CCS Negative Emission</t>
  </si>
  <si>
    <t>Negative – CO2 permanently stored</t>
  </si>
  <si>
    <t>CCS process electricity</t>
  </si>
  <si>
    <t>Diesel – truck</t>
  </si>
  <si>
    <t>ICAO / IPCC 2006</t>
  </si>
  <si>
    <t>Jet A-1 aviation fuel</t>
  </si>
  <si>
    <t>Station electricity</t>
  </si>
  <si>
    <t>Landfill CH4 GWP=28</t>
  </si>
  <si>
    <t>N2O from wastewater GWP=265</t>
  </si>
  <si>
    <t>Biogenic emission</t>
  </si>
  <si>
    <t>Enteric CH4 GWP=28</t>
  </si>
  <si>
    <t>Soil N2O GWP=265</t>
  </si>
  <si>
    <t>Building electricity</t>
  </si>
  <si>
    <t>Private car commute</t>
  </si>
  <si>
    <t>Landfill waste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</si>
</sst>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0.0"/>
      <color rgb="FF37474F"/>
      <name val="Arial"/>
    </font>
    <font>
      <sz val="10.0"/>
      <color theme="1"/>
      <name val="Arial"/>
    </font>
    <font>
      <b/>
      <sz val="10.0"/>
      <color theme="1"/>
      <name val="Arimo"/>
    </font>
    <font>
      <b/>
      <sz val="11.0"/>
      <color theme="1"/>
      <name val="Calibri"/>
    </font>
    <font>
      <sz val="10.0"/>
      <color rgb="FF14181F"/>
      <name val="Calibri"/>
    </font>
    <font>
      <b/>
      <sz val="10.0"/>
      <color rgb="FFFFFFFF"/>
      <name val="Calibri"/>
    </font>
    <font>
      <sz val="11.0"/>
      <color theme="1"/>
      <name val="Calibri"/>
    </font>
    <font>
      <b/>
      <sz val="9.0"/>
      <color rgb="FFFFFFFF"/>
      <name val="Calibri"/>
    </font>
    <font>
      <sz val="9.0"/>
      <color theme="1"/>
      <name val="Calibri"/>
    </font>
    <font>
      <b/>
      <sz val="9.0"/>
      <color rgb="FFB71C1C"/>
      <name val="Calibri"/>
    </font>
    <font>
      <i/>
      <sz val="9.0"/>
      <color rgb="FF616161"/>
      <name val="Calibri"/>
    </font>
    <font>
      <u/>
      <sz val="9.0"/>
      <color rgb="FF0D47A1"/>
      <name val="Calibri"/>
    </font>
    <font>
      <b/>
      <sz val="10.0"/>
      <color rgb="FFFFFFFF"/>
      <name val="Arial"/>
    </font>
    <font>
      <b/>
      <sz val="9.0"/>
      <color rgb="FFB71C1C"/>
      <name val="Arial"/>
    </font>
    <font>
      <sz val="9.0"/>
      <color theme="1"/>
      <name val="Arial"/>
    </font>
    <font/>
    <font>
      <sz val="9.0"/>
      <color rgb="FF1565C0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37474F"/>
        <bgColor rgb="FF37474F"/>
      </patternFill>
    </fill>
    <fill>
      <patternFill patternType="solid">
        <fgColor rgb="FF00695C"/>
        <bgColor rgb="FF00695C"/>
      </patternFill>
    </fill>
    <fill>
      <patternFill patternType="solid">
        <fgColor rgb="FFECEFF1"/>
        <bgColor rgb="FFECEFF1"/>
      </patternFill>
    </fill>
    <fill>
      <patternFill patternType="solid">
        <fgColor rgb="FFFFCDD2"/>
        <bgColor rgb="FFFFCDD2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2E7D32"/>
        <bgColor rgb="FF2E7D32"/>
      </patternFill>
    </fill>
    <fill>
      <patternFill patternType="solid">
        <fgColor rgb="FF6A1B9A"/>
        <bgColor rgb="FF6A1B9A"/>
      </patternFill>
    </fill>
    <fill>
      <patternFill patternType="solid">
        <fgColor rgb="FFF57F17"/>
        <bgColor rgb="FFF57F17"/>
      </patternFill>
    </fill>
    <fill>
      <patternFill patternType="solid">
        <fgColor rgb="FFAD1457"/>
        <bgColor rgb="FFAD1457"/>
      </patternFill>
    </fill>
    <fill>
      <patternFill patternType="solid">
        <fgColor rgb="FFE8F5E9"/>
        <bgColor rgb="FFE8F5E9"/>
      </patternFill>
    </fill>
    <fill>
      <patternFill patternType="solid">
        <fgColor rgb="FFE0F2F1"/>
        <bgColor rgb="FFE0F2F1"/>
      </patternFill>
    </fill>
    <fill>
      <patternFill patternType="solid">
        <fgColor rgb="FFF1F8E9"/>
        <bgColor rgb="FFF1F8E9"/>
      </patternFill>
    </fill>
    <fill>
      <patternFill patternType="solid">
        <fgColor rgb="FFE65100"/>
        <bgColor rgb="FFE65100"/>
      </patternFill>
    </fill>
    <fill>
      <patternFill patternType="solid">
        <fgColor rgb="FFFFF3E0"/>
        <bgColor rgb="FFFFF3E0"/>
      </patternFill>
    </fill>
    <fill>
      <patternFill patternType="solid">
        <fgColor rgb="FF880E4F"/>
        <bgColor rgb="FF880E4F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283593"/>
        <bgColor rgb="FF283593"/>
      </patternFill>
    </fill>
    <fill>
      <patternFill patternType="solid">
        <fgColor rgb="FFE8EAF6"/>
        <bgColor rgb="FFE8EAF6"/>
      </patternFill>
    </fill>
    <fill>
      <patternFill patternType="solid">
        <fgColor rgb="FF006064"/>
        <bgColor rgb="FF006064"/>
      </patternFill>
    </fill>
    <fill>
      <patternFill patternType="solid">
        <fgColor rgb="FFE0F7FA"/>
        <bgColor rgb="FFE0F7FA"/>
      </patternFill>
    </fill>
    <fill>
      <patternFill patternType="solid">
        <fgColor rgb="FF558B2F"/>
        <bgColor rgb="FF558B2F"/>
      </patternFill>
    </fill>
    <fill>
      <patternFill patternType="solid">
        <fgColor rgb="FFBF360C"/>
        <bgColor rgb="FFBF360C"/>
      </patternFill>
    </fill>
    <fill>
      <patternFill patternType="solid">
        <fgColor rgb="FFFBE9E7"/>
        <bgColor rgb="FFFBE9E7"/>
      </patternFill>
    </fill>
    <fill>
      <patternFill patternType="solid">
        <fgColor rgb="FF4A148C"/>
        <bgColor rgb="FF4A148C"/>
      </patternFill>
    </fill>
    <fill>
      <patternFill patternType="solid">
        <fgColor rgb="FFEDE7F6"/>
        <bgColor rgb="FFEDE7F6"/>
      </patternFill>
    </fill>
  </fills>
  <borders count="5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1" fillId="3" fontId="8" numFmtId="0" xfId="0" applyAlignment="1" applyBorder="1" applyFill="1" applyFont="1">
      <alignment shrinkToFit="0" vertical="center" wrapText="1"/>
    </xf>
    <xf borderId="1" fillId="4" fontId="9" numFmtId="0" xfId="0" applyAlignment="1" applyBorder="1" applyFill="1" applyFont="1">
      <alignment shrinkToFit="0" vertical="center" wrapText="1"/>
    </xf>
    <xf borderId="1" fillId="5" fontId="10" numFmtId="0" xfId="0" applyAlignment="1" applyBorder="1" applyFill="1" applyFont="1">
      <alignment horizontal="center" vertical="center"/>
    </xf>
    <xf borderId="1" fillId="4" fontId="9" numFmtId="0" xfId="0" applyAlignment="1" applyBorder="1" applyFont="1">
      <alignment horizontal="center" vertical="center"/>
    </xf>
    <xf borderId="1" fillId="6" fontId="9" numFmtId="0" xfId="0" applyAlignment="1" applyBorder="1" applyFill="1" applyFont="1">
      <alignment shrinkToFit="0" vertical="center" wrapText="1"/>
    </xf>
    <xf borderId="1" fillId="6" fontId="9" numFmtId="0" xfId="0" applyAlignment="1" applyBorder="1" applyFont="1">
      <alignment horizontal="center" vertical="center"/>
    </xf>
    <xf borderId="1" fillId="7" fontId="11" numFmtId="0" xfId="0" applyAlignment="1" applyBorder="1" applyFill="1" applyFont="1">
      <alignment horizontal="center" vertical="center"/>
    </xf>
    <xf borderId="1" fillId="8" fontId="8" numFmtId="0" xfId="0" applyAlignment="1" applyBorder="1" applyFill="1" applyFont="1">
      <alignment shrinkToFit="0" vertical="center" wrapText="1"/>
    </xf>
    <xf borderId="1" fillId="9" fontId="12" numFmtId="0" xfId="0" applyAlignment="1" applyBorder="1" applyFill="1" applyFont="1">
      <alignment shrinkToFit="0" vertical="center" wrapText="1"/>
    </xf>
    <xf borderId="1" fillId="10" fontId="8" numFmtId="0" xfId="0" applyAlignment="1" applyBorder="1" applyFill="1" applyFont="1">
      <alignment shrinkToFit="0" vertical="center" wrapText="1"/>
    </xf>
    <xf borderId="1" fillId="11" fontId="8" numFmtId="0" xfId="0" applyAlignment="1" applyBorder="1" applyFill="1" applyFont="1">
      <alignment shrinkToFit="0" vertical="center" wrapText="1"/>
    </xf>
    <xf borderId="1" fillId="12" fontId="8" numFmtId="0" xfId="0" applyAlignment="1" applyBorder="1" applyFill="1" applyFont="1">
      <alignment shrinkToFit="0" vertical="center" wrapText="1"/>
    </xf>
    <xf borderId="1" fillId="13" fontId="8" numFmtId="0" xfId="0" applyAlignment="1" applyBorder="1" applyFill="1" applyFont="1">
      <alignment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14" fontId="14" numFmtId="0" xfId="0" applyAlignment="1" applyBorder="1" applyFill="1" applyFont="1">
      <alignment vertical="center"/>
    </xf>
    <xf borderId="1" fillId="14" fontId="15" numFmtId="0" xfId="0" applyAlignment="1" applyBorder="1" applyFont="1">
      <alignment shrinkToFit="0" vertical="center" wrapText="1"/>
    </xf>
    <xf borderId="1" fillId="15" fontId="9" numFmtId="0" xfId="0" applyAlignment="1" applyBorder="1" applyFill="1" applyFont="1">
      <alignment shrinkToFit="0" vertical="center" wrapText="1"/>
    </xf>
    <xf borderId="1" fillId="16" fontId="14" numFmtId="0" xfId="0" applyAlignment="1" applyBorder="1" applyFill="1" applyFont="1">
      <alignment vertical="center"/>
    </xf>
    <xf borderId="1" fillId="16" fontId="15" numFmtId="0" xfId="0" applyAlignment="1" applyBorder="1" applyFont="1">
      <alignment shrinkToFit="0" vertical="center" wrapText="1"/>
    </xf>
    <xf borderId="1" fillId="8" fontId="13" numFmtId="0" xfId="0" applyAlignment="1" applyBorder="1" applyFont="1">
      <alignment horizontal="center" shrinkToFit="0" vertical="center" wrapText="1"/>
    </xf>
    <xf borderId="2" fillId="10" fontId="13" numFmtId="0" xfId="0" applyAlignment="1" applyBorder="1" applyFont="1">
      <alignment horizontal="left" vertical="center"/>
    </xf>
    <xf borderId="3" fillId="0" fontId="16" numFmtId="0" xfId="0" applyBorder="1" applyFont="1"/>
    <xf borderId="4" fillId="0" fontId="16" numFmtId="0" xfId="0" applyBorder="1" applyFont="1"/>
    <xf borderId="1" fillId="14" fontId="17" numFmtId="0" xfId="0" applyAlignment="1" applyBorder="1" applyFont="1">
      <alignment vertical="center"/>
    </xf>
    <xf borderId="1" fillId="14" fontId="15" numFmtId="0" xfId="0" applyAlignment="1" applyBorder="1" applyFont="1">
      <alignment vertical="center"/>
    </xf>
    <xf borderId="2" fillId="8" fontId="13" numFmtId="0" xfId="0" applyAlignment="1" applyBorder="1" applyFont="1">
      <alignment horizontal="left" vertical="center"/>
    </xf>
    <xf borderId="1" fillId="9" fontId="14" numFmtId="0" xfId="0" applyAlignment="1" applyBorder="1" applyFont="1">
      <alignment vertical="center"/>
    </xf>
    <xf borderId="1" fillId="9" fontId="17" numFmtId="0" xfId="0" applyAlignment="1" applyBorder="1" applyFont="1">
      <alignment vertical="center"/>
    </xf>
    <xf borderId="1" fillId="9" fontId="15" numFmtId="0" xfId="0" applyAlignment="1" applyBorder="1" applyFont="1">
      <alignment shrinkToFit="0" vertical="center" wrapText="1"/>
    </xf>
    <xf borderId="1" fillId="9" fontId="15" numFmtId="0" xfId="0" applyAlignment="1" applyBorder="1" applyFont="1">
      <alignment vertical="center"/>
    </xf>
    <xf borderId="2" fillId="17" fontId="13" numFmtId="0" xfId="0" applyAlignment="1" applyBorder="1" applyFill="1" applyFont="1">
      <alignment horizontal="left" vertical="center"/>
    </xf>
    <xf borderId="1" fillId="18" fontId="14" numFmtId="0" xfId="0" applyAlignment="1" applyBorder="1" applyFill="1" applyFont="1">
      <alignment vertical="center"/>
    </xf>
    <xf borderId="1" fillId="18" fontId="17" numFmtId="0" xfId="0" applyAlignment="1" applyBorder="1" applyFont="1">
      <alignment vertical="center"/>
    </xf>
    <xf borderId="1" fillId="18" fontId="15" numFmtId="0" xfId="0" applyAlignment="1" applyBorder="1" applyFont="1">
      <alignment shrinkToFit="0" vertical="center" wrapText="1"/>
    </xf>
    <xf borderId="1" fillId="18" fontId="15" numFmtId="0" xfId="0" applyAlignment="1" applyBorder="1" applyFont="1">
      <alignment vertical="center"/>
    </xf>
    <xf borderId="2" fillId="19" fontId="13" numFmtId="0" xfId="0" applyAlignment="1" applyBorder="1" applyFill="1" applyFont="1">
      <alignment horizontal="left" vertical="center"/>
    </xf>
    <xf borderId="1" fillId="20" fontId="14" numFmtId="0" xfId="0" applyAlignment="1" applyBorder="1" applyFill="1" applyFont="1">
      <alignment vertical="center"/>
    </xf>
    <xf borderId="1" fillId="20" fontId="17" numFmtId="0" xfId="0" applyAlignment="1" applyBorder="1" applyFont="1">
      <alignment vertical="center"/>
    </xf>
    <xf borderId="1" fillId="20" fontId="15" numFmtId="0" xfId="0" applyAlignment="1" applyBorder="1" applyFont="1">
      <alignment shrinkToFit="0" vertical="center" wrapText="1"/>
    </xf>
    <xf borderId="1" fillId="20" fontId="15" numFmtId="0" xfId="0" applyAlignment="1" applyBorder="1" applyFont="1">
      <alignment vertical="center"/>
    </xf>
    <xf borderId="2" fillId="11" fontId="13" numFmtId="0" xfId="0" applyAlignment="1" applyBorder="1" applyFont="1">
      <alignment horizontal="left" vertical="center"/>
    </xf>
    <xf borderId="1" fillId="21" fontId="14" numFmtId="0" xfId="0" applyAlignment="1" applyBorder="1" applyFill="1" applyFont="1">
      <alignment vertical="center"/>
    </xf>
    <xf borderId="1" fillId="21" fontId="17" numFmtId="0" xfId="0" applyAlignment="1" applyBorder="1" applyFont="1">
      <alignment vertical="center"/>
    </xf>
    <xf borderId="1" fillId="21" fontId="15" numFmtId="0" xfId="0" applyAlignment="1" applyBorder="1" applyFont="1">
      <alignment shrinkToFit="0" vertical="center" wrapText="1"/>
    </xf>
    <xf borderId="1" fillId="21" fontId="15" numFmtId="0" xfId="0" applyAlignment="1" applyBorder="1" applyFont="1">
      <alignment vertical="center"/>
    </xf>
    <xf borderId="2" fillId="22" fontId="13" numFmtId="0" xfId="0" applyAlignment="1" applyBorder="1" applyFill="1" applyFont="1">
      <alignment horizontal="left" vertical="center"/>
    </xf>
    <xf borderId="1" fillId="23" fontId="14" numFmtId="0" xfId="0" applyAlignment="1" applyBorder="1" applyFill="1" applyFont="1">
      <alignment vertical="center"/>
    </xf>
    <xf borderId="1" fillId="23" fontId="17" numFmtId="0" xfId="0" applyAlignment="1" applyBorder="1" applyFont="1">
      <alignment vertical="center"/>
    </xf>
    <xf borderId="1" fillId="23" fontId="15" numFmtId="0" xfId="0" applyAlignment="1" applyBorder="1" applyFont="1">
      <alignment shrinkToFit="0" vertical="center" wrapText="1"/>
    </xf>
    <xf borderId="1" fillId="23" fontId="15" numFmtId="0" xfId="0" applyAlignment="1" applyBorder="1" applyFont="1">
      <alignment vertical="center"/>
    </xf>
    <xf borderId="2" fillId="24" fontId="13" numFmtId="0" xfId="0" applyAlignment="1" applyBorder="1" applyFill="1" applyFont="1">
      <alignment horizontal="left" vertical="center"/>
    </xf>
    <xf borderId="1" fillId="25" fontId="14" numFmtId="0" xfId="0" applyAlignment="1" applyBorder="1" applyFill="1" applyFont="1">
      <alignment vertical="center"/>
    </xf>
    <xf borderId="1" fillId="25" fontId="17" numFmtId="0" xfId="0" applyAlignment="1" applyBorder="1" applyFont="1">
      <alignment vertical="center"/>
    </xf>
    <xf borderId="1" fillId="25" fontId="15" numFmtId="0" xfId="0" applyAlignment="1" applyBorder="1" applyFont="1">
      <alignment shrinkToFit="0" vertical="center" wrapText="1"/>
    </xf>
    <xf borderId="1" fillId="25" fontId="15" numFmtId="0" xfId="0" applyAlignment="1" applyBorder="1" applyFont="1">
      <alignment vertical="center"/>
    </xf>
    <xf borderId="2" fillId="12" fontId="13" numFmtId="0" xfId="0" applyAlignment="1" applyBorder="1" applyFont="1">
      <alignment horizontal="left" vertical="center"/>
    </xf>
    <xf borderId="1" fillId="7" fontId="14" numFmtId="0" xfId="0" applyAlignment="1" applyBorder="1" applyFont="1">
      <alignment vertical="center"/>
    </xf>
    <xf borderId="1" fillId="7" fontId="17" numFmtId="0" xfId="0" applyAlignment="1" applyBorder="1" applyFont="1">
      <alignment vertical="center"/>
    </xf>
    <xf borderId="1" fillId="7" fontId="15" numFmtId="0" xfId="0" applyAlignment="1" applyBorder="1" applyFont="1">
      <alignment shrinkToFit="0" vertical="center" wrapText="1"/>
    </xf>
    <xf borderId="1" fillId="7" fontId="15" numFmtId="0" xfId="0" applyAlignment="1" applyBorder="1" applyFont="1">
      <alignment vertical="center"/>
    </xf>
    <xf borderId="2" fillId="26" fontId="13" numFmtId="0" xfId="0" applyAlignment="1" applyBorder="1" applyFill="1" applyFont="1">
      <alignment horizontal="left" vertical="center"/>
    </xf>
    <xf borderId="1" fillId="16" fontId="17" numFmtId="0" xfId="0" applyAlignment="1" applyBorder="1" applyFont="1">
      <alignment vertical="center"/>
    </xf>
    <xf borderId="1" fillId="16" fontId="15" numFmtId="0" xfId="0" applyAlignment="1" applyBorder="1" applyFont="1">
      <alignment vertical="center"/>
    </xf>
    <xf borderId="2" fillId="27" fontId="13" numFmtId="0" xfId="0" applyAlignment="1" applyBorder="1" applyFill="1" applyFont="1">
      <alignment horizontal="left" vertical="center"/>
    </xf>
    <xf borderId="1" fillId="28" fontId="14" numFmtId="0" xfId="0" applyAlignment="1" applyBorder="1" applyFill="1" applyFont="1">
      <alignment vertical="center"/>
    </xf>
    <xf borderId="1" fillId="28" fontId="17" numFmtId="0" xfId="0" applyAlignment="1" applyBorder="1" applyFont="1">
      <alignment vertical="center"/>
    </xf>
    <xf borderId="1" fillId="28" fontId="15" numFmtId="0" xfId="0" applyAlignment="1" applyBorder="1" applyFont="1">
      <alignment shrinkToFit="0" vertical="center" wrapText="1"/>
    </xf>
    <xf borderId="1" fillId="28" fontId="15" numFmtId="0" xfId="0" applyAlignment="1" applyBorder="1" applyFont="1">
      <alignment vertical="center"/>
    </xf>
    <xf borderId="2" fillId="3" fontId="13" numFmtId="0" xfId="0" applyAlignment="1" applyBorder="1" applyFont="1">
      <alignment horizontal="left" vertical="center"/>
    </xf>
    <xf borderId="1" fillId="15" fontId="14" numFmtId="0" xfId="0" applyAlignment="1" applyBorder="1" applyFont="1">
      <alignment vertical="center"/>
    </xf>
    <xf borderId="1" fillId="15" fontId="17" numFmtId="0" xfId="0" applyAlignment="1" applyBorder="1" applyFont="1">
      <alignment vertical="center"/>
    </xf>
    <xf borderId="1" fillId="15" fontId="15" numFmtId="0" xfId="0" applyAlignment="1" applyBorder="1" applyFont="1">
      <alignment shrinkToFit="0" vertical="center" wrapText="1"/>
    </xf>
    <xf borderId="1" fillId="15" fontId="15" numFmtId="0" xfId="0" applyAlignment="1" applyBorder="1" applyFont="1">
      <alignment vertical="center"/>
    </xf>
    <xf borderId="2" fillId="29" fontId="13" numFmtId="0" xfId="0" applyAlignment="1" applyBorder="1" applyFill="1" applyFont="1">
      <alignment horizontal="left" vertical="center"/>
    </xf>
    <xf borderId="1" fillId="30" fontId="14" numFmtId="0" xfId="0" applyAlignment="1" applyBorder="1" applyFill="1" applyFont="1">
      <alignment vertical="center"/>
    </xf>
    <xf borderId="1" fillId="30" fontId="17" numFmtId="0" xfId="0" applyAlignment="1" applyBorder="1" applyFont="1">
      <alignment vertical="center"/>
    </xf>
    <xf borderId="1" fillId="30" fontId="15" numFmtId="0" xfId="0" applyAlignment="1" applyBorder="1" applyFont="1">
      <alignment shrinkToFit="0" vertical="center" wrapText="1"/>
    </xf>
    <xf borderId="1" fillId="30" fontId="15" numFmtId="0" xfId="0" applyAlignment="1" applyBorder="1" applyFont="1">
      <alignment vertical="center"/>
    </xf>
    <xf borderId="1" fillId="10" fontId="13" numFmtId="0" xfId="0" applyAlignment="1" applyBorder="1" applyFont="1">
      <alignment horizontal="center" shrinkToFit="0" vertical="center" wrapText="1"/>
    </xf>
    <xf borderId="1" fillId="11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2" ht="18.0" customHeight="1">
      <c r="A2" s="1" t="s">
        <v>0</v>
      </c>
      <c r="B2" s="2" t="s">
        <v>1</v>
      </c>
    </row>
    <row r="3" ht="18.0" customHeight="1">
      <c r="A3" s="1"/>
      <c r="B3" s="2"/>
    </row>
    <row r="4" ht="18.0" customHeight="1">
      <c r="A4" s="1" t="s">
        <v>2</v>
      </c>
      <c r="B4" s="2" t="s">
        <v>3</v>
      </c>
    </row>
    <row r="5">
      <c r="A5" s="1" t="s">
        <v>4</v>
      </c>
      <c r="B5" s="2" t="s">
        <v>5</v>
      </c>
    </row>
    <row r="6" ht="39.75" customHeight="1">
      <c r="A6" s="1" t="s">
        <v>6</v>
      </c>
      <c r="B6" s="2" t="s">
        <v>7</v>
      </c>
    </row>
    <row r="7" ht="18.0" customHeight="1">
      <c r="A7" s="1"/>
      <c r="B7" s="2"/>
    </row>
    <row r="9" ht="15.0" customHeight="1">
      <c r="B9" s="3" t="s">
        <v>8</v>
      </c>
    </row>
    <row r="11" ht="15.0" customHeight="1">
      <c r="B11" s="4" t="s">
        <v>9</v>
      </c>
    </row>
    <row r="13" ht="15.0" customHeight="1">
      <c r="B13" s="5" t="s">
        <v>10</v>
      </c>
    </row>
    <row r="14" ht="15.0" customHeight="1">
      <c r="B14" s="5" t="s">
        <v>11</v>
      </c>
    </row>
    <row r="15" ht="15.0" customHeight="1">
      <c r="B15" s="5" t="s">
        <v>12</v>
      </c>
    </row>
    <row r="16" ht="15.0" customHeight="1">
      <c r="B16" s="5" t="s">
        <v>13</v>
      </c>
    </row>
    <row r="17" ht="15.0" customHeight="1">
      <c r="B17" s="5" t="s">
        <v>14</v>
      </c>
    </row>
    <row r="18" ht="15.0" customHeight="1">
      <c r="B18" s="5" t="s">
        <v>15</v>
      </c>
    </row>
    <row r="19" ht="15.0" customHeight="1">
      <c r="B19" s="5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18.0"/>
    <col customWidth="1" min="4" max="4" width="6.0"/>
    <col customWidth="1" min="5" max="5" width="22.0"/>
    <col customWidth="1" min="6" max="6" width="8.0"/>
    <col customWidth="1" min="7" max="7" width="50.0"/>
    <col customWidth="1" min="8" max="8" width="40.0"/>
    <col customWidth="1" min="9" max="26" width="8.86"/>
  </cols>
  <sheetData>
    <row r="1" ht="31.5" customHeight="1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8" t="s">
        <v>25</v>
      </c>
      <c r="B2" s="9" t="s">
        <v>26</v>
      </c>
      <c r="C2" s="9" t="s">
        <v>27</v>
      </c>
      <c r="D2" s="10" t="s">
        <v>28</v>
      </c>
      <c r="E2" s="9"/>
      <c r="F2" s="11" t="s">
        <v>29</v>
      </c>
      <c r="G2" s="9" t="s">
        <v>30</v>
      </c>
      <c r="H2" s="9" t="s">
        <v>31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8" t="s">
        <v>25</v>
      </c>
      <c r="B3" s="12" t="s">
        <v>32</v>
      </c>
      <c r="C3" s="12" t="s">
        <v>33</v>
      </c>
      <c r="D3" s="12"/>
      <c r="E3" s="12"/>
      <c r="F3" s="13" t="s">
        <v>29</v>
      </c>
      <c r="G3" s="12" t="s">
        <v>34</v>
      </c>
      <c r="H3" s="12" t="s">
        <v>35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8" t="s">
        <v>25</v>
      </c>
      <c r="B4" s="9" t="s">
        <v>36</v>
      </c>
      <c r="C4" s="9" t="s">
        <v>33</v>
      </c>
      <c r="D4" s="9"/>
      <c r="E4" s="9"/>
      <c r="F4" s="11" t="s">
        <v>29</v>
      </c>
      <c r="G4" s="9" t="s">
        <v>37</v>
      </c>
      <c r="H4" s="9" t="s">
        <v>38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8" t="s">
        <v>25</v>
      </c>
      <c r="B5" s="9" t="s">
        <v>39</v>
      </c>
      <c r="C5" s="9" t="s">
        <v>40</v>
      </c>
      <c r="D5" s="9"/>
      <c r="E5" s="9"/>
      <c r="F5" s="14" t="s">
        <v>41</v>
      </c>
      <c r="G5" s="9" t="s">
        <v>42</v>
      </c>
      <c r="H5" s="9" t="s">
        <v>43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8" t="s">
        <v>25</v>
      </c>
      <c r="B6" s="12" t="s">
        <v>44</v>
      </c>
      <c r="C6" s="12" t="s">
        <v>45</v>
      </c>
      <c r="D6" s="12"/>
      <c r="E6" s="12"/>
      <c r="F6" s="13" t="s">
        <v>29</v>
      </c>
      <c r="G6" s="12" t="s">
        <v>46</v>
      </c>
      <c r="H6" s="12" t="s">
        <v>47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15" t="s">
        <v>48</v>
      </c>
      <c r="B7" s="9" t="s">
        <v>49</v>
      </c>
      <c r="C7" s="9" t="s">
        <v>27</v>
      </c>
      <c r="D7" s="10" t="s">
        <v>28</v>
      </c>
      <c r="E7" s="9"/>
      <c r="F7" s="11" t="s">
        <v>29</v>
      </c>
      <c r="G7" s="9" t="s">
        <v>30</v>
      </c>
      <c r="H7" s="9" t="s">
        <v>50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15" t="s">
        <v>48</v>
      </c>
      <c r="B8" s="12" t="s">
        <v>26</v>
      </c>
      <c r="C8" s="12" t="s">
        <v>51</v>
      </c>
      <c r="D8" s="12"/>
      <c r="E8" s="16" t="s">
        <v>25</v>
      </c>
      <c r="F8" s="14" t="s">
        <v>41</v>
      </c>
      <c r="G8" s="12" t="s">
        <v>52</v>
      </c>
      <c r="H8" s="12" t="s">
        <v>53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15" t="s">
        <v>48</v>
      </c>
      <c r="B9" s="9" t="s">
        <v>32</v>
      </c>
      <c r="C9" s="9" t="s">
        <v>54</v>
      </c>
      <c r="D9" s="9"/>
      <c r="E9" s="9"/>
      <c r="F9" s="11" t="s">
        <v>29</v>
      </c>
      <c r="G9" s="9" t="s">
        <v>55</v>
      </c>
      <c r="H9" s="9" t="s">
        <v>56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15" t="s">
        <v>48</v>
      </c>
      <c r="B10" s="12" t="s">
        <v>36</v>
      </c>
      <c r="C10" s="12" t="s">
        <v>54</v>
      </c>
      <c r="D10" s="12"/>
      <c r="E10" s="12"/>
      <c r="F10" s="14" t="s">
        <v>41</v>
      </c>
      <c r="G10" s="12" t="s">
        <v>57</v>
      </c>
      <c r="H10" s="12" t="s">
        <v>58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15" t="s">
        <v>48</v>
      </c>
      <c r="B11" s="9" t="s">
        <v>59</v>
      </c>
      <c r="C11" s="9" t="s">
        <v>60</v>
      </c>
      <c r="D11" s="9"/>
      <c r="E11" s="9"/>
      <c r="F11" s="11" t="s">
        <v>29</v>
      </c>
      <c r="G11" s="9" t="s">
        <v>61</v>
      </c>
      <c r="H11" s="9" t="s">
        <v>62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15" t="s">
        <v>48</v>
      </c>
      <c r="B12" s="12" t="s">
        <v>63</v>
      </c>
      <c r="C12" s="12" t="s">
        <v>64</v>
      </c>
      <c r="D12" s="12"/>
      <c r="E12" s="12"/>
      <c r="F12" s="13" t="s">
        <v>29</v>
      </c>
      <c r="G12" s="12" t="s">
        <v>65</v>
      </c>
      <c r="H12" s="12" t="s">
        <v>66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15" t="s">
        <v>48</v>
      </c>
      <c r="B13" s="9" t="s">
        <v>67</v>
      </c>
      <c r="C13" s="9" t="s">
        <v>64</v>
      </c>
      <c r="D13" s="9"/>
      <c r="E13" s="9"/>
      <c r="F13" s="14" t="s">
        <v>41</v>
      </c>
      <c r="G13" s="9" t="s">
        <v>68</v>
      </c>
      <c r="H13" s="9" t="s">
        <v>69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15" t="s">
        <v>48</v>
      </c>
      <c r="B14" s="12" t="s">
        <v>70</v>
      </c>
      <c r="C14" s="12" t="s">
        <v>45</v>
      </c>
      <c r="D14" s="12"/>
      <c r="E14" s="12"/>
      <c r="F14" s="13" t="s">
        <v>29</v>
      </c>
      <c r="G14" s="12" t="s">
        <v>71</v>
      </c>
      <c r="H14" s="12" t="s">
        <v>72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15" t="s">
        <v>48</v>
      </c>
      <c r="B15" s="9" t="s">
        <v>73</v>
      </c>
      <c r="C15" s="9" t="s">
        <v>51</v>
      </c>
      <c r="D15" s="9"/>
      <c r="E15" s="9"/>
      <c r="F15" s="11" t="s">
        <v>29</v>
      </c>
      <c r="G15" s="9" t="s">
        <v>74</v>
      </c>
      <c r="H15" s="9" t="s">
        <v>75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15" t="s">
        <v>48</v>
      </c>
      <c r="B16" s="12" t="s">
        <v>76</v>
      </c>
      <c r="C16" s="12" t="s">
        <v>77</v>
      </c>
      <c r="D16" s="12"/>
      <c r="E16" s="12"/>
      <c r="F16" s="13" t="s">
        <v>29</v>
      </c>
      <c r="G16" s="12" t="s">
        <v>78</v>
      </c>
      <c r="H16" s="12" t="s">
        <v>79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17" t="s">
        <v>80</v>
      </c>
      <c r="B17" s="9" t="s">
        <v>81</v>
      </c>
      <c r="C17" s="9" t="s">
        <v>27</v>
      </c>
      <c r="D17" s="10" t="s">
        <v>28</v>
      </c>
      <c r="E17" s="9"/>
      <c r="F17" s="11" t="s">
        <v>29</v>
      </c>
      <c r="G17" s="9" t="s">
        <v>30</v>
      </c>
      <c r="H17" s="9" t="s">
        <v>82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17" t="s">
        <v>80</v>
      </c>
      <c r="B18" s="12" t="s">
        <v>49</v>
      </c>
      <c r="C18" s="12" t="s">
        <v>51</v>
      </c>
      <c r="D18" s="12"/>
      <c r="E18" s="16" t="s">
        <v>48</v>
      </c>
      <c r="F18" s="13" t="s">
        <v>29</v>
      </c>
      <c r="G18" s="12" t="s">
        <v>83</v>
      </c>
      <c r="H18" s="12" t="s">
        <v>84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17" t="s">
        <v>80</v>
      </c>
      <c r="B19" s="9" t="s">
        <v>32</v>
      </c>
      <c r="C19" s="9" t="s">
        <v>54</v>
      </c>
      <c r="D19" s="9"/>
      <c r="E19" s="9"/>
      <c r="F19" s="11" t="s">
        <v>29</v>
      </c>
      <c r="G19" s="9" t="s">
        <v>85</v>
      </c>
      <c r="H19" s="9" t="s">
        <v>86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17" t="s">
        <v>80</v>
      </c>
      <c r="B20" s="12" t="s">
        <v>36</v>
      </c>
      <c r="C20" s="12" t="s">
        <v>54</v>
      </c>
      <c r="D20" s="12"/>
      <c r="E20" s="12"/>
      <c r="F20" s="14" t="s">
        <v>41</v>
      </c>
      <c r="G20" s="12" t="s">
        <v>87</v>
      </c>
      <c r="H20" s="12" t="s">
        <v>88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17" t="s">
        <v>80</v>
      </c>
      <c r="B21" s="9" t="s">
        <v>89</v>
      </c>
      <c r="C21" s="9" t="s">
        <v>90</v>
      </c>
      <c r="D21" s="9"/>
      <c r="E21" s="9"/>
      <c r="F21" s="11" t="s">
        <v>29</v>
      </c>
      <c r="G21" s="9" t="s">
        <v>91</v>
      </c>
      <c r="H21" s="9" t="s">
        <v>92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17" t="s">
        <v>80</v>
      </c>
      <c r="B22" s="12" t="s">
        <v>93</v>
      </c>
      <c r="C22" s="12" t="s">
        <v>45</v>
      </c>
      <c r="D22" s="12"/>
      <c r="E22" s="12"/>
      <c r="F22" s="13" t="s">
        <v>29</v>
      </c>
      <c r="G22" s="12" t="s">
        <v>94</v>
      </c>
      <c r="H22" s="12" t="s">
        <v>95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17" t="s">
        <v>80</v>
      </c>
      <c r="B23" s="9" t="s">
        <v>73</v>
      </c>
      <c r="C23" s="9" t="s">
        <v>51</v>
      </c>
      <c r="D23" s="9"/>
      <c r="E23" s="9"/>
      <c r="F23" s="11" t="s">
        <v>29</v>
      </c>
      <c r="G23" s="9" t="s">
        <v>96</v>
      </c>
      <c r="H23" s="9" t="s">
        <v>97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17" t="s">
        <v>80</v>
      </c>
      <c r="B24" s="12" t="s">
        <v>98</v>
      </c>
      <c r="C24" s="12" t="s">
        <v>99</v>
      </c>
      <c r="D24" s="12"/>
      <c r="E24" s="12"/>
      <c r="F24" s="14" t="s">
        <v>41</v>
      </c>
      <c r="G24" s="12" t="s">
        <v>100</v>
      </c>
      <c r="H24" s="12" t="s">
        <v>101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18" t="s">
        <v>102</v>
      </c>
      <c r="B25" s="9" t="s">
        <v>103</v>
      </c>
      <c r="C25" s="9" t="s">
        <v>27</v>
      </c>
      <c r="D25" s="10" t="s">
        <v>28</v>
      </c>
      <c r="E25" s="9"/>
      <c r="F25" s="11" t="s">
        <v>29</v>
      </c>
      <c r="G25" s="9" t="s">
        <v>30</v>
      </c>
      <c r="H25" s="9" t="s">
        <v>104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18" t="s">
        <v>102</v>
      </c>
      <c r="B26" s="12" t="s">
        <v>81</v>
      </c>
      <c r="C26" s="12" t="s">
        <v>51</v>
      </c>
      <c r="D26" s="12"/>
      <c r="E26" s="16" t="s">
        <v>80</v>
      </c>
      <c r="F26" s="13" t="s">
        <v>29</v>
      </c>
      <c r="G26" s="12" t="s">
        <v>105</v>
      </c>
      <c r="H26" s="12" t="s">
        <v>106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18" t="s">
        <v>102</v>
      </c>
      <c r="B27" s="9" t="s">
        <v>107</v>
      </c>
      <c r="C27" s="9" t="s">
        <v>108</v>
      </c>
      <c r="D27" s="9"/>
      <c r="E27" s="9"/>
      <c r="F27" s="11" t="s">
        <v>29</v>
      </c>
      <c r="G27" s="9" t="s">
        <v>109</v>
      </c>
      <c r="H27" s="9" t="s">
        <v>110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18" t="s">
        <v>102</v>
      </c>
      <c r="B28" s="12" t="s">
        <v>111</v>
      </c>
      <c r="C28" s="12" t="s">
        <v>112</v>
      </c>
      <c r="D28" s="12"/>
      <c r="E28" s="12"/>
      <c r="F28" s="13" t="s">
        <v>29</v>
      </c>
      <c r="G28" s="12" t="s">
        <v>113</v>
      </c>
      <c r="H28" s="12" t="s">
        <v>114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18" t="s">
        <v>102</v>
      </c>
      <c r="B29" s="9" t="s">
        <v>115</v>
      </c>
      <c r="C29" s="9" t="s">
        <v>54</v>
      </c>
      <c r="D29" s="9"/>
      <c r="E29" s="9"/>
      <c r="F29" s="11" t="s">
        <v>29</v>
      </c>
      <c r="G29" s="9" t="s">
        <v>116</v>
      </c>
      <c r="H29" s="9" t="s">
        <v>117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18" t="s">
        <v>102</v>
      </c>
      <c r="B30" s="12" t="s">
        <v>118</v>
      </c>
      <c r="C30" s="12" t="s">
        <v>119</v>
      </c>
      <c r="D30" s="12"/>
      <c r="E30" s="12"/>
      <c r="F30" s="13" t="s">
        <v>29</v>
      </c>
      <c r="G30" s="12" t="s">
        <v>120</v>
      </c>
      <c r="H30" s="12" t="s">
        <v>121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18" t="s">
        <v>102</v>
      </c>
      <c r="B31" s="9" t="s">
        <v>59</v>
      </c>
      <c r="C31" s="9" t="s">
        <v>60</v>
      </c>
      <c r="D31" s="9"/>
      <c r="E31" s="9"/>
      <c r="F31" s="11" t="s">
        <v>29</v>
      </c>
      <c r="G31" s="9" t="s">
        <v>122</v>
      </c>
      <c r="H31" s="9" t="s">
        <v>123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18" t="s">
        <v>102</v>
      </c>
      <c r="B32" s="12" t="s">
        <v>124</v>
      </c>
      <c r="C32" s="12" t="s">
        <v>77</v>
      </c>
      <c r="D32" s="12"/>
      <c r="E32" s="12"/>
      <c r="F32" s="14" t="s">
        <v>41</v>
      </c>
      <c r="G32" s="12" t="s">
        <v>125</v>
      </c>
      <c r="H32" s="12" t="s">
        <v>126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18" t="s">
        <v>102</v>
      </c>
      <c r="B33" s="9" t="s">
        <v>98</v>
      </c>
      <c r="C33" s="9" t="s">
        <v>99</v>
      </c>
      <c r="D33" s="9"/>
      <c r="E33" s="9"/>
      <c r="F33" s="14" t="s">
        <v>41</v>
      </c>
      <c r="G33" s="9" t="s">
        <v>127</v>
      </c>
      <c r="H33" s="9" t="s">
        <v>128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19" t="s">
        <v>129</v>
      </c>
      <c r="B34" s="12" t="s">
        <v>130</v>
      </c>
      <c r="C34" s="12" t="s">
        <v>27</v>
      </c>
      <c r="D34" s="10" t="s">
        <v>28</v>
      </c>
      <c r="E34" s="12"/>
      <c r="F34" s="13" t="s">
        <v>29</v>
      </c>
      <c r="G34" s="12" t="s">
        <v>30</v>
      </c>
      <c r="H34" s="12" t="s">
        <v>20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19" t="s">
        <v>129</v>
      </c>
      <c r="B35" s="9" t="s">
        <v>131</v>
      </c>
      <c r="C35" s="9" t="s">
        <v>51</v>
      </c>
      <c r="D35" s="9"/>
      <c r="E35" s="16" t="s">
        <v>132</v>
      </c>
      <c r="F35" s="11" t="s">
        <v>29</v>
      </c>
      <c r="G35" s="9" t="s">
        <v>133</v>
      </c>
      <c r="H35" s="9" t="s">
        <v>134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19" t="s">
        <v>129</v>
      </c>
      <c r="B36" s="12" t="s">
        <v>81</v>
      </c>
      <c r="C36" s="12" t="s">
        <v>51</v>
      </c>
      <c r="D36" s="12"/>
      <c r="E36" s="16" t="s">
        <v>80</v>
      </c>
      <c r="F36" s="13" t="s">
        <v>29</v>
      </c>
      <c r="G36" s="12" t="s">
        <v>135</v>
      </c>
      <c r="H36" s="12" t="s">
        <v>136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9" t="s">
        <v>129</v>
      </c>
      <c r="B37" s="9" t="s">
        <v>44</v>
      </c>
      <c r="C37" s="9" t="s">
        <v>45</v>
      </c>
      <c r="D37" s="9"/>
      <c r="E37" s="9"/>
      <c r="F37" s="11" t="s">
        <v>29</v>
      </c>
      <c r="G37" s="9" t="s">
        <v>137</v>
      </c>
      <c r="H37" s="9" t="s">
        <v>138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9" t="s">
        <v>129</v>
      </c>
      <c r="B38" s="12" t="s">
        <v>103</v>
      </c>
      <c r="C38" s="12" t="s">
        <v>51</v>
      </c>
      <c r="D38" s="12"/>
      <c r="E38" s="16" t="s">
        <v>102</v>
      </c>
      <c r="F38" s="14" t="s">
        <v>41</v>
      </c>
      <c r="G38" s="12" t="s">
        <v>139</v>
      </c>
      <c r="H38" s="12" t="s">
        <v>140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19" t="s">
        <v>129</v>
      </c>
      <c r="B39" s="9" t="s">
        <v>141</v>
      </c>
      <c r="C39" s="9" t="s">
        <v>90</v>
      </c>
      <c r="D39" s="9"/>
      <c r="E39" s="9"/>
      <c r="F39" s="14" t="s">
        <v>41</v>
      </c>
      <c r="G39" s="9" t="s">
        <v>142</v>
      </c>
      <c r="H39" s="9" t="s">
        <v>143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19" t="s">
        <v>129</v>
      </c>
      <c r="B40" s="12" t="s">
        <v>144</v>
      </c>
      <c r="C40" s="12" t="s">
        <v>145</v>
      </c>
      <c r="D40" s="12"/>
      <c r="E40" s="12"/>
      <c r="F40" s="13" t="s">
        <v>29</v>
      </c>
      <c r="G40" s="12" t="s">
        <v>146</v>
      </c>
      <c r="H40" s="12" t="s">
        <v>147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20" t="s">
        <v>148</v>
      </c>
      <c r="B41" s="9" t="s">
        <v>149</v>
      </c>
      <c r="C41" s="9" t="s">
        <v>27</v>
      </c>
      <c r="D41" s="10" t="s">
        <v>28</v>
      </c>
      <c r="E41" s="9"/>
      <c r="F41" s="11" t="s">
        <v>29</v>
      </c>
      <c r="G41" s="9" t="s">
        <v>30</v>
      </c>
      <c r="H41" s="9" t="s">
        <v>20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20" t="s">
        <v>148</v>
      </c>
      <c r="B42" s="12" t="s">
        <v>131</v>
      </c>
      <c r="C42" s="12" t="s">
        <v>51</v>
      </c>
      <c r="D42" s="12"/>
      <c r="E42" s="16" t="s">
        <v>132</v>
      </c>
      <c r="F42" s="13" t="s">
        <v>29</v>
      </c>
      <c r="G42" s="12" t="s">
        <v>150</v>
      </c>
      <c r="H42" s="12" t="s">
        <v>134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20" t="s">
        <v>148</v>
      </c>
      <c r="B43" s="9" t="s">
        <v>81</v>
      </c>
      <c r="C43" s="9" t="s">
        <v>51</v>
      </c>
      <c r="D43" s="9"/>
      <c r="E43" s="16" t="s">
        <v>80</v>
      </c>
      <c r="F43" s="11" t="s">
        <v>29</v>
      </c>
      <c r="G43" s="9" t="s">
        <v>151</v>
      </c>
      <c r="H43" s="9" t="s">
        <v>106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20" t="s">
        <v>148</v>
      </c>
      <c r="B44" s="12" t="s">
        <v>152</v>
      </c>
      <c r="C44" s="12" t="s">
        <v>54</v>
      </c>
      <c r="D44" s="12"/>
      <c r="E44" s="12"/>
      <c r="F44" s="14" t="s">
        <v>41</v>
      </c>
      <c r="G44" s="12" t="s">
        <v>153</v>
      </c>
      <c r="H44" s="12" t="s">
        <v>154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20" t="s">
        <v>148</v>
      </c>
      <c r="B45" s="9" t="s">
        <v>155</v>
      </c>
      <c r="C45" s="9" t="s">
        <v>119</v>
      </c>
      <c r="D45" s="9"/>
      <c r="E45" s="9"/>
      <c r="F45" s="11" t="s">
        <v>29</v>
      </c>
      <c r="G45" s="9" t="s">
        <v>156</v>
      </c>
      <c r="H45" s="9" t="s">
        <v>157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20" t="s">
        <v>148</v>
      </c>
      <c r="B46" s="12" t="s">
        <v>158</v>
      </c>
      <c r="C46" s="12" t="s">
        <v>64</v>
      </c>
      <c r="D46" s="12"/>
      <c r="E46" s="12"/>
      <c r="F46" s="14" t="s">
        <v>41</v>
      </c>
      <c r="G46" s="12" t="s">
        <v>159</v>
      </c>
      <c r="H46" s="12" t="s">
        <v>160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20" t="s">
        <v>148</v>
      </c>
      <c r="B47" s="9" t="s">
        <v>161</v>
      </c>
      <c r="C47" s="9" t="s">
        <v>162</v>
      </c>
      <c r="D47" s="9"/>
      <c r="E47" s="9"/>
      <c r="F47" s="14" t="s">
        <v>41</v>
      </c>
      <c r="G47" s="9" t="s">
        <v>163</v>
      </c>
      <c r="H47" s="9" t="s">
        <v>164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20" t="s">
        <v>148</v>
      </c>
      <c r="B48" s="12" t="s">
        <v>165</v>
      </c>
      <c r="C48" s="12" t="s">
        <v>162</v>
      </c>
      <c r="D48" s="12"/>
      <c r="E48" s="12"/>
      <c r="F48" s="14" t="s">
        <v>41</v>
      </c>
      <c r="G48" s="12" t="s">
        <v>166</v>
      </c>
      <c r="H48" s="12" t="s">
        <v>167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20" t="s">
        <v>148</v>
      </c>
      <c r="B49" s="9" t="s">
        <v>168</v>
      </c>
      <c r="C49" s="9" t="s">
        <v>162</v>
      </c>
      <c r="D49" s="9"/>
      <c r="E49" s="9"/>
      <c r="F49" s="14" t="s">
        <v>41</v>
      </c>
      <c r="G49" s="9" t="s">
        <v>169</v>
      </c>
      <c r="H49" s="9" t="s">
        <v>170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20" t="s">
        <v>148</v>
      </c>
      <c r="B50" s="12" t="s">
        <v>171</v>
      </c>
      <c r="C50" s="12" t="s">
        <v>162</v>
      </c>
      <c r="D50" s="12"/>
      <c r="E50" s="12"/>
      <c r="F50" s="14" t="s">
        <v>41</v>
      </c>
      <c r="G50" s="12" t="s">
        <v>172</v>
      </c>
      <c r="H50" s="12" t="s">
        <v>173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20" t="s">
        <v>148</v>
      </c>
      <c r="B51" s="9" t="s">
        <v>174</v>
      </c>
      <c r="C51" s="9" t="s">
        <v>162</v>
      </c>
      <c r="D51" s="9"/>
      <c r="E51" s="9"/>
      <c r="F51" s="14" t="s">
        <v>41</v>
      </c>
      <c r="G51" s="9" t="s">
        <v>175</v>
      </c>
      <c r="H51" s="9" t="s">
        <v>176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20" t="s">
        <v>148</v>
      </c>
      <c r="B52" s="12" t="s">
        <v>177</v>
      </c>
      <c r="C52" s="12" t="s">
        <v>162</v>
      </c>
      <c r="D52" s="12"/>
      <c r="E52" s="12"/>
      <c r="F52" s="14" t="s">
        <v>41</v>
      </c>
      <c r="G52" s="12" t="s">
        <v>178</v>
      </c>
      <c r="H52" s="12" t="s">
        <v>179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20" t="s">
        <v>148</v>
      </c>
      <c r="B53" s="9" t="s">
        <v>180</v>
      </c>
      <c r="C53" s="9" t="s">
        <v>162</v>
      </c>
      <c r="D53" s="9"/>
      <c r="E53" s="9"/>
      <c r="F53" s="14" t="s">
        <v>41</v>
      </c>
      <c r="G53" s="9" t="s">
        <v>181</v>
      </c>
      <c r="H53" s="9" t="s">
        <v>182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20" t="s">
        <v>148</v>
      </c>
      <c r="B54" s="12" t="s">
        <v>183</v>
      </c>
      <c r="C54" s="12" t="s">
        <v>162</v>
      </c>
      <c r="D54" s="12"/>
      <c r="E54" s="12"/>
      <c r="F54" s="14" t="s">
        <v>41</v>
      </c>
      <c r="G54" s="12" t="s">
        <v>184</v>
      </c>
      <c r="H54" s="12" t="s">
        <v>185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20" t="s">
        <v>148</v>
      </c>
      <c r="B55" s="9" t="s">
        <v>186</v>
      </c>
      <c r="C55" s="9" t="s">
        <v>162</v>
      </c>
      <c r="D55" s="9"/>
      <c r="E55" s="9"/>
      <c r="F55" s="14" t="s">
        <v>41</v>
      </c>
      <c r="G55" s="9" t="s">
        <v>187</v>
      </c>
      <c r="H55" s="9" t="s">
        <v>188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20" t="s">
        <v>148</v>
      </c>
      <c r="B56" s="12" t="s">
        <v>189</v>
      </c>
      <c r="C56" s="12" t="s">
        <v>162</v>
      </c>
      <c r="D56" s="12"/>
      <c r="E56" s="12"/>
      <c r="F56" s="14" t="s">
        <v>41</v>
      </c>
      <c r="G56" s="12" t="s">
        <v>190</v>
      </c>
      <c r="H56" s="12" t="s">
        <v>191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20" t="s">
        <v>148</v>
      </c>
      <c r="B57" s="9" t="s">
        <v>192</v>
      </c>
      <c r="C57" s="9" t="s">
        <v>162</v>
      </c>
      <c r="D57" s="9"/>
      <c r="E57" s="9"/>
      <c r="F57" s="14" t="s">
        <v>41</v>
      </c>
      <c r="G57" s="9" t="s">
        <v>193</v>
      </c>
      <c r="H57" s="9" t="s">
        <v>194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20" t="s">
        <v>148</v>
      </c>
      <c r="B58" s="12" t="s">
        <v>195</v>
      </c>
      <c r="C58" s="12" t="s">
        <v>162</v>
      </c>
      <c r="D58" s="12"/>
      <c r="E58" s="12"/>
      <c r="F58" s="14" t="s">
        <v>41</v>
      </c>
      <c r="G58" s="12" t="s">
        <v>196</v>
      </c>
      <c r="H58" s="12" t="s">
        <v>197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20" t="s">
        <v>148</v>
      </c>
      <c r="B59" s="9" t="s">
        <v>198</v>
      </c>
      <c r="C59" s="9" t="s">
        <v>199</v>
      </c>
      <c r="D59" s="9"/>
      <c r="E59" s="9"/>
      <c r="F59" s="14" t="s">
        <v>41</v>
      </c>
      <c r="G59" s="9" t="s">
        <v>200</v>
      </c>
      <c r="H59" s="9" t="s">
        <v>201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20" t="s">
        <v>148</v>
      </c>
      <c r="B60" s="12" t="s">
        <v>202</v>
      </c>
      <c r="C60" s="12" t="s">
        <v>203</v>
      </c>
      <c r="D60" s="12"/>
      <c r="E60" s="12"/>
      <c r="F60" s="14" t="s">
        <v>41</v>
      </c>
      <c r="G60" s="12" t="s">
        <v>204</v>
      </c>
      <c r="H60" s="12" t="s">
        <v>205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20" t="s">
        <v>148</v>
      </c>
      <c r="B61" s="9" t="s">
        <v>98</v>
      </c>
      <c r="C61" s="9" t="s">
        <v>99</v>
      </c>
      <c r="D61" s="9"/>
      <c r="E61" s="9"/>
      <c r="F61" s="14" t="s">
        <v>41</v>
      </c>
      <c r="G61" s="9" t="s">
        <v>206</v>
      </c>
      <c r="H61" s="9" t="s">
        <v>128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20" t="s">
        <v>148</v>
      </c>
      <c r="B62" s="12" t="s">
        <v>207</v>
      </c>
      <c r="C62" s="12" t="s">
        <v>145</v>
      </c>
      <c r="D62" s="12"/>
      <c r="E62" s="12"/>
      <c r="F62" s="13" t="s">
        <v>29</v>
      </c>
      <c r="G62" s="12" t="s">
        <v>208</v>
      </c>
      <c r="H62" s="12" t="s">
        <v>209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9.5" customHeight="1">
      <c r="A63" s="20" t="s">
        <v>148</v>
      </c>
      <c r="B63" s="9" t="s">
        <v>144</v>
      </c>
      <c r="C63" s="9" t="s">
        <v>145</v>
      </c>
      <c r="D63" s="9"/>
      <c r="E63" s="9"/>
      <c r="F63" s="11" t="s">
        <v>29</v>
      </c>
      <c r="G63" s="9" t="s">
        <v>210</v>
      </c>
      <c r="H63" s="9" t="s">
        <v>147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A$1:$H$6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95C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2" width="58.0"/>
    <col customWidth="1" min="3" max="3" width="36.0"/>
    <col customWidth="1" min="4" max="4" width="70.0"/>
    <col customWidth="1" min="5" max="5" width="43.0"/>
    <col customWidth="1" min="6" max="26" width="8.71"/>
  </cols>
  <sheetData>
    <row r="1" ht="30.0" customHeight="1">
      <c r="A1" s="21" t="s">
        <v>211</v>
      </c>
      <c r="B1" s="21" t="s">
        <v>32</v>
      </c>
      <c r="C1" s="21" t="s">
        <v>36</v>
      </c>
      <c r="D1" s="21" t="s">
        <v>212</v>
      </c>
      <c r="E1" s="22" t="s">
        <v>44</v>
      </c>
    </row>
    <row r="2" ht="51.75" customHeight="1">
      <c r="A2" s="23">
        <v>1.0</v>
      </c>
      <c r="B2" s="24" t="s">
        <v>213</v>
      </c>
      <c r="C2" s="24" t="s">
        <v>214</v>
      </c>
      <c r="D2" s="24" t="s">
        <v>215</v>
      </c>
      <c r="E2" s="25" t="b">
        <v>1</v>
      </c>
    </row>
    <row r="3" ht="51.75" customHeight="1">
      <c r="A3" s="26">
        <v>2.0</v>
      </c>
      <c r="B3" s="27" t="s">
        <v>216</v>
      </c>
      <c r="C3" s="27" t="s">
        <v>217</v>
      </c>
      <c r="D3" s="27" t="s">
        <v>218</v>
      </c>
      <c r="E3" s="25" t="b">
        <v>1</v>
      </c>
    </row>
    <row r="4" ht="51.75" customHeight="1">
      <c r="A4" s="23">
        <v>3.0</v>
      </c>
      <c r="B4" s="24" t="s">
        <v>219</v>
      </c>
      <c r="C4" s="24" t="s">
        <v>220</v>
      </c>
      <c r="D4" s="24" t="s">
        <v>221</v>
      </c>
      <c r="E4" s="25" t="b">
        <v>1</v>
      </c>
    </row>
    <row r="5" ht="51.75" customHeight="1">
      <c r="A5" s="26">
        <v>4.0</v>
      </c>
      <c r="B5" s="27" t="s">
        <v>222</v>
      </c>
      <c r="C5" s="27" t="s">
        <v>223</v>
      </c>
      <c r="D5" s="27" t="s">
        <v>224</v>
      </c>
      <c r="E5" s="25" t="b">
        <v>1</v>
      </c>
    </row>
    <row r="6" ht="51.75" customHeight="1">
      <c r="A6" s="23">
        <v>5.0</v>
      </c>
      <c r="B6" s="24" t="s">
        <v>225</v>
      </c>
      <c r="C6" s="24" t="s">
        <v>226</v>
      </c>
      <c r="D6" s="24" t="s">
        <v>227</v>
      </c>
      <c r="E6" s="25" t="b">
        <v>1</v>
      </c>
    </row>
    <row r="7" ht="51.75" customHeight="1">
      <c r="A7" s="26">
        <v>6.0</v>
      </c>
      <c r="B7" s="27" t="s">
        <v>228</v>
      </c>
      <c r="C7" s="27" t="s">
        <v>229</v>
      </c>
      <c r="D7" s="27" t="s">
        <v>230</v>
      </c>
      <c r="E7" s="25" t="b">
        <v>1</v>
      </c>
    </row>
    <row r="8" ht="51.75" customHeight="1">
      <c r="A8" s="23">
        <v>7.0</v>
      </c>
      <c r="B8" s="24" t="s">
        <v>231</v>
      </c>
      <c r="C8" s="24" t="s">
        <v>232</v>
      </c>
      <c r="D8" s="24" t="s">
        <v>233</v>
      </c>
      <c r="E8" s="25" t="b">
        <v>1</v>
      </c>
    </row>
    <row r="9" ht="51.75" customHeight="1">
      <c r="A9" s="26">
        <v>8.0</v>
      </c>
      <c r="B9" s="27" t="s">
        <v>234</v>
      </c>
      <c r="C9" s="27" t="s">
        <v>235</v>
      </c>
      <c r="D9" s="27" t="s">
        <v>236</v>
      </c>
      <c r="E9" s="25" t="b">
        <v>1</v>
      </c>
    </row>
    <row r="10" ht="51.75" customHeight="1">
      <c r="A10" s="23">
        <v>9.0</v>
      </c>
      <c r="B10" s="24" t="s">
        <v>237</v>
      </c>
      <c r="C10" s="24" t="s">
        <v>238</v>
      </c>
      <c r="D10" s="24" t="s">
        <v>239</v>
      </c>
      <c r="E10" s="25" t="b">
        <v>1</v>
      </c>
    </row>
    <row r="11" ht="51.75" customHeight="1">
      <c r="A11" s="26">
        <v>10.0</v>
      </c>
      <c r="B11" s="27" t="s">
        <v>240</v>
      </c>
      <c r="C11" s="27" t="s">
        <v>241</v>
      </c>
      <c r="D11" s="27" t="s">
        <v>242</v>
      </c>
      <c r="E11" s="25" t="b">
        <v>1</v>
      </c>
    </row>
    <row r="12" ht="51.75" customHeight="1">
      <c r="A12" s="23">
        <v>11.0</v>
      </c>
      <c r="B12" s="24" t="s">
        <v>243</v>
      </c>
      <c r="C12" s="24" t="s">
        <v>244</v>
      </c>
      <c r="D12" s="24" t="s">
        <v>245</v>
      </c>
      <c r="E12" s="25" t="b">
        <v>1</v>
      </c>
    </row>
    <row r="13" ht="51.75" customHeight="1">
      <c r="A13" s="26">
        <v>12.0</v>
      </c>
      <c r="B13" s="27" t="s">
        <v>246</v>
      </c>
      <c r="C13" s="27" t="s">
        <v>247</v>
      </c>
      <c r="D13" s="27" t="s">
        <v>248</v>
      </c>
      <c r="E13" s="25" t="b">
        <v>1</v>
      </c>
    </row>
    <row r="14" ht="51.75" customHeight="1">
      <c r="A14" s="23">
        <v>13.0</v>
      </c>
      <c r="B14" s="24" t="s">
        <v>249</v>
      </c>
      <c r="C14" s="24" t="s">
        <v>250</v>
      </c>
      <c r="D14" s="24" t="s">
        <v>251</v>
      </c>
      <c r="E14" s="25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52.0"/>
    <col customWidth="1" min="4" max="4" width="44.0"/>
    <col customWidth="1" min="5" max="5" width="8.0"/>
    <col customWidth="1" min="6" max="6" width="32.0"/>
    <col customWidth="1" min="7" max="7" width="24.0"/>
    <col customWidth="1" min="8" max="8" width="10.0"/>
    <col customWidth="1" min="9" max="9" width="9.0"/>
    <col customWidth="1" min="10" max="10" width="10.0"/>
    <col customWidth="1" min="11" max="26" width="8.71"/>
  </cols>
  <sheetData>
    <row r="1" ht="30.0" customHeight="1">
      <c r="A1" s="28" t="s">
        <v>252</v>
      </c>
      <c r="B1" s="28" t="s">
        <v>253</v>
      </c>
      <c r="C1" s="28" t="s">
        <v>32</v>
      </c>
      <c r="D1" s="28" t="s">
        <v>36</v>
      </c>
      <c r="E1" s="28" t="s">
        <v>59</v>
      </c>
      <c r="F1" s="28" t="s">
        <v>63</v>
      </c>
      <c r="G1" s="28" t="s">
        <v>67</v>
      </c>
      <c r="H1" s="28" t="s">
        <v>70</v>
      </c>
      <c r="I1" s="28" t="s">
        <v>73</v>
      </c>
      <c r="J1" s="28" t="s">
        <v>76</v>
      </c>
    </row>
    <row r="2" ht="21.75" customHeight="1">
      <c r="A2" s="29" t="s">
        <v>254</v>
      </c>
      <c r="B2" s="30"/>
      <c r="C2" s="30"/>
      <c r="D2" s="30"/>
      <c r="E2" s="30"/>
      <c r="F2" s="30"/>
      <c r="G2" s="30"/>
      <c r="H2" s="30"/>
      <c r="I2" s="30"/>
      <c r="J2" s="31"/>
    </row>
    <row r="3" ht="18.0" customHeight="1">
      <c r="A3" s="23">
        <v>1.0</v>
      </c>
      <c r="B3" s="32">
        <v>2.0</v>
      </c>
      <c r="C3" s="24" t="s">
        <v>255</v>
      </c>
      <c r="D3" s="33" t="s">
        <v>256</v>
      </c>
      <c r="E3" s="33">
        <v>1.0</v>
      </c>
      <c r="F3" s="33" t="s">
        <v>257</v>
      </c>
      <c r="G3" s="33"/>
      <c r="H3" s="33" t="b">
        <f>FALSE()</f>
        <v>0</v>
      </c>
      <c r="I3" s="33">
        <v>10.0</v>
      </c>
      <c r="J3" s="33" t="s">
        <v>258</v>
      </c>
    </row>
    <row r="4" ht="18.0" customHeight="1">
      <c r="A4" s="23">
        <v>2.0</v>
      </c>
      <c r="B4" s="32">
        <v>2.0</v>
      </c>
      <c r="C4" s="24" t="s">
        <v>259</v>
      </c>
      <c r="D4" s="33" t="s">
        <v>260</v>
      </c>
      <c r="E4" s="33">
        <v>1.0</v>
      </c>
      <c r="F4" s="33" t="s">
        <v>261</v>
      </c>
      <c r="G4" s="33"/>
      <c r="H4" s="33" t="b">
        <v>1</v>
      </c>
      <c r="I4" s="33">
        <v>20.0</v>
      </c>
      <c r="J4" s="33" t="s">
        <v>258</v>
      </c>
    </row>
    <row r="5" ht="18.0" customHeight="1">
      <c r="A5" s="23">
        <v>3.0</v>
      </c>
      <c r="B5" s="32">
        <v>2.0</v>
      </c>
      <c r="C5" s="24" t="s">
        <v>262</v>
      </c>
      <c r="D5" s="33" t="s">
        <v>263</v>
      </c>
      <c r="E5" s="33">
        <v>1.0</v>
      </c>
      <c r="F5" s="33" t="s">
        <v>264</v>
      </c>
      <c r="G5" s="33"/>
      <c r="H5" s="33" t="b">
        <f t="shared" ref="H5:H6" si="1">FALSE()</f>
        <v>0</v>
      </c>
      <c r="I5" s="33">
        <v>30.0</v>
      </c>
      <c r="J5" s="33" t="s">
        <v>258</v>
      </c>
    </row>
    <row r="6" ht="18.0" customHeight="1">
      <c r="A6" s="23">
        <v>4.0</v>
      </c>
      <c r="B6" s="32">
        <v>2.0</v>
      </c>
      <c r="C6" s="24" t="s">
        <v>265</v>
      </c>
      <c r="D6" s="33" t="s">
        <v>266</v>
      </c>
      <c r="E6" s="33">
        <v>1.0</v>
      </c>
      <c r="F6" s="33" t="s">
        <v>267</v>
      </c>
      <c r="G6" s="33"/>
      <c r="H6" s="33" t="b">
        <f t="shared" si="1"/>
        <v>0</v>
      </c>
      <c r="I6" s="33">
        <v>40.0</v>
      </c>
      <c r="J6" s="33" t="s">
        <v>258</v>
      </c>
    </row>
    <row r="7" ht="18.0" customHeight="1">
      <c r="A7" s="23">
        <v>5.0</v>
      </c>
      <c r="B7" s="32">
        <v>2.0</v>
      </c>
      <c r="C7" s="24" t="s">
        <v>268</v>
      </c>
      <c r="D7" s="33" t="s">
        <v>269</v>
      </c>
      <c r="E7" s="33">
        <v>2.0</v>
      </c>
      <c r="F7" s="33" t="s">
        <v>269</v>
      </c>
      <c r="G7" s="33"/>
      <c r="H7" s="33" t="b">
        <v>1</v>
      </c>
      <c r="I7" s="33">
        <v>50.0</v>
      </c>
      <c r="J7" s="33" t="s">
        <v>258</v>
      </c>
    </row>
    <row r="8" ht="18.0" customHeight="1">
      <c r="A8" s="23">
        <v>6.0</v>
      </c>
      <c r="B8" s="32">
        <v>2.0</v>
      </c>
      <c r="C8" s="24" t="s">
        <v>270</v>
      </c>
      <c r="D8" s="33" t="s">
        <v>271</v>
      </c>
      <c r="E8" s="33">
        <v>2.0</v>
      </c>
      <c r="F8" s="33" t="s">
        <v>272</v>
      </c>
      <c r="G8" s="33"/>
      <c r="H8" s="33" t="b">
        <f>FALSE()</f>
        <v>0</v>
      </c>
      <c r="I8" s="33">
        <v>60.0</v>
      </c>
      <c r="J8" s="33" t="s">
        <v>258</v>
      </c>
    </row>
    <row r="9" ht="18.0" customHeight="1">
      <c r="A9" s="23">
        <v>7.0</v>
      </c>
      <c r="B9" s="32">
        <v>2.0</v>
      </c>
      <c r="C9" s="24" t="s">
        <v>273</v>
      </c>
      <c r="D9" s="33" t="s">
        <v>274</v>
      </c>
      <c r="E9" s="33">
        <v>3.0</v>
      </c>
      <c r="F9" s="33" t="s">
        <v>275</v>
      </c>
      <c r="G9" s="33"/>
      <c r="H9" s="33" t="b">
        <v>1</v>
      </c>
      <c r="I9" s="33">
        <v>70.0</v>
      </c>
      <c r="J9" s="33" t="s">
        <v>258</v>
      </c>
    </row>
    <row r="10" ht="18.0" customHeight="1">
      <c r="A10" s="23">
        <v>8.0</v>
      </c>
      <c r="B10" s="32">
        <v>2.0</v>
      </c>
      <c r="C10" s="24" t="s">
        <v>276</v>
      </c>
      <c r="D10" s="33" t="s">
        <v>277</v>
      </c>
      <c r="E10" s="33">
        <v>3.0</v>
      </c>
      <c r="F10" s="33" t="s">
        <v>278</v>
      </c>
      <c r="G10" s="33"/>
      <c r="H10" s="33" t="b">
        <v>1</v>
      </c>
      <c r="I10" s="33">
        <v>80.0</v>
      </c>
      <c r="J10" s="33" t="s">
        <v>258</v>
      </c>
    </row>
    <row r="11" ht="18.0" customHeight="1">
      <c r="A11" s="23">
        <v>9.0</v>
      </c>
      <c r="B11" s="32">
        <v>2.0</v>
      </c>
      <c r="C11" s="24" t="s">
        <v>279</v>
      </c>
      <c r="D11" s="33" t="s">
        <v>280</v>
      </c>
      <c r="E11" s="33">
        <v>3.0</v>
      </c>
      <c r="F11" s="33" t="s">
        <v>281</v>
      </c>
      <c r="G11" s="33"/>
      <c r="H11" s="33" t="b">
        <f>FALSE()</f>
        <v>0</v>
      </c>
      <c r="I11" s="33">
        <v>90.0</v>
      </c>
      <c r="J11" s="33" t="s">
        <v>258</v>
      </c>
    </row>
    <row r="12" ht="18.0" customHeight="1">
      <c r="A12" s="23">
        <v>10.0</v>
      </c>
      <c r="B12" s="32">
        <v>2.0</v>
      </c>
      <c r="C12" s="24" t="s">
        <v>282</v>
      </c>
      <c r="D12" s="33" t="s">
        <v>283</v>
      </c>
      <c r="E12" s="33">
        <v>3.0</v>
      </c>
      <c r="F12" s="33" t="s">
        <v>284</v>
      </c>
      <c r="G12" s="33"/>
      <c r="H12" s="33" t="b">
        <v>1</v>
      </c>
      <c r="I12" s="33">
        <v>100.0</v>
      </c>
      <c r="J12" s="33" t="s">
        <v>258</v>
      </c>
    </row>
    <row r="13" ht="18.0" customHeight="1">
      <c r="A13" s="23">
        <v>11.0</v>
      </c>
      <c r="B13" s="32">
        <v>2.0</v>
      </c>
      <c r="C13" s="24" t="s">
        <v>285</v>
      </c>
      <c r="D13" s="33" t="s">
        <v>286</v>
      </c>
      <c r="E13" s="33">
        <v>3.0</v>
      </c>
      <c r="F13" s="33" t="s">
        <v>284</v>
      </c>
      <c r="G13" s="33"/>
      <c r="H13" s="33" t="b">
        <f t="shared" ref="H13:H14" si="2">FALSE()</f>
        <v>0</v>
      </c>
      <c r="I13" s="33">
        <v>110.0</v>
      </c>
      <c r="J13" s="33" t="s">
        <v>258</v>
      </c>
    </row>
    <row r="14" ht="18.0" customHeight="1">
      <c r="A14" s="23">
        <v>12.0</v>
      </c>
      <c r="B14" s="32">
        <v>2.0</v>
      </c>
      <c r="C14" s="24" t="s">
        <v>287</v>
      </c>
      <c r="D14" s="33" t="s">
        <v>288</v>
      </c>
      <c r="E14" s="33">
        <v>3.0</v>
      </c>
      <c r="F14" s="33" t="s">
        <v>289</v>
      </c>
      <c r="G14" s="33"/>
      <c r="H14" s="33" t="b">
        <f t="shared" si="2"/>
        <v>0</v>
      </c>
      <c r="I14" s="33">
        <v>120.0</v>
      </c>
      <c r="J14" s="33" t="s">
        <v>258</v>
      </c>
    </row>
    <row r="15" ht="21.75" customHeight="1">
      <c r="A15" s="34" t="s">
        <v>290</v>
      </c>
      <c r="B15" s="30"/>
      <c r="C15" s="30"/>
      <c r="D15" s="30"/>
      <c r="E15" s="30"/>
      <c r="F15" s="30"/>
      <c r="G15" s="30"/>
      <c r="H15" s="30"/>
      <c r="I15" s="30"/>
      <c r="J15" s="31"/>
    </row>
    <row r="16" ht="18.0" customHeight="1">
      <c r="A16" s="35">
        <v>13.0</v>
      </c>
      <c r="B16" s="36">
        <v>1.0</v>
      </c>
      <c r="C16" s="37" t="s">
        <v>291</v>
      </c>
      <c r="D16" s="38" t="s">
        <v>292</v>
      </c>
      <c r="E16" s="38">
        <v>1.0</v>
      </c>
      <c r="F16" s="38" t="s">
        <v>257</v>
      </c>
      <c r="G16" s="38"/>
      <c r="H16" s="38" t="b">
        <f t="shared" ref="H16:H18" si="3">FALSE()</f>
        <v>0</v>
      </c>
      <c r="I16" s="38">
        <v>10.0</v>
      </c>
      <c r="J16" s="38" t="s">
        <v>258</v>
      </c>
    </row>
    <row r="17" ht="18.0" customHeight="1">
      <c r="A17" s="35">
        <v>14.0</v>
      </c>
      <c r="B17" s="36">
        <v>1.0</v>
      </c>
      <c r="C17" s="37" t="s">
        <v>293</v>
      </c>
      <c r="D17" s="38" t="s">
        <v>294</v>
      </c>
      <c r="E17" s="38">
        <v>1.0</v>
      </c>
      <c r="F17" s="38" t="s">
        <v>267</v>
      </c>
      <c r="G17" s="38"/>
      <c r="H17" s="38" t="b">
        <f t="shared" si="3"/>
        <v>0</v>
      </c>
      <c r="I17" s="38">
        <v>20.0</v>
      </c>
      <c r="J17" s="38" t="s">
        <v>258</v>
      </c>
    </row>
    <row r="18" ht="18.0" customHeight="1">
      <c r="A18" s="35">
        <v>15.0</v>
      </c>
      <c r="B18" s="36">
        <v>1.0</v>
      </c>
      <c r="C18" s="37" t="s">
        <v>295</v>
      </c>
      <c r="D18" s="38" t="s">
        <v>296</v>
      </c>
      <c r="E18" s="38">
        <v>2.0</v>
      </c>
      <c r="F18" s="38" t="s">
        <v>269</v>
      </c>
      <c r="G18" s="38"/>
      <c r="H18" s="38" t="b">
        <f t="shared" si="3"/>
        <v>0</v>
      </c>
      <c r="I18" s="38">
        <v>30.0</v>
      </c>
      <c r="J18" s="38" t="s">
        <v>258</v>
      </c>
    </row>
    <row r="19" ht="21.75" customHeight="1">
      <c r="A19" s="39" t="s">
        <v>297</v>
      </c>
      <c r="B19" s="30"/>
      <c r="C19" s="30"/>
      <c r="D19" s="30"/>
      <c r="E19" s="30"/>
      <c r="F19" s="30"/>
      <c r="G19" s="30"/>
      <c r="H19" s="30"/>
      <c r="I19" s="30"/>
      <c r="J19" s="31"/>
    </row>
    <row r="20" ht="18.0" customHeight="1">
      <c r="A20" s="40">
        <v>16.0</v>
      </c>
      <c r="B20" s="41">
        <v>3.0</v>
      </c>
      <c r="C20" s="42" t="s">
        <v>298</v>
      </c>
      <c r="D20" s="43" t="s">
        <v>299</v>
      </c>
      <c r="E20" s="43">
        <v>1.0</v>
      </c>
      <c r="F20" s="43" t="s">
        <v>257</v>
      </c>
      <c r="G20" s="43"/>
      <c r="H20" s="43" t="b">
        <f t="shared" ref="H20:H22" si="4">FALSE()</f>
        <v>0</v>
      </c>
      <c r="I20" s="43">
        <v>10.0</v>
      </c>
      <c r="J20" s="43" t="s">
        <v>258</v>
      </c>
    </row>
    <row r="21" ht="18.0" customHeight="1">
      <c r="A21" s="40">
        <v>17.0</v>
      </c>
      <c r="B21" s="41">
        <v>3.0</v>
      </c>
      <c r="C21" s="42" t="s">
        <v>300</v>
      </c>
      <c r="D21" s="43" t="s">
        <v>301</v>
      </c>
      <c r="E21" s="43">
        <v>1.0</v>
      </c>
      <c r="F21" s="43" t="s">
        <v>264</v>
      </c>
      <c r="G21" s="43"/>
      <c r="H21" s="43" t="b">
        <f t="shared" si="4"/>
        <v>0</v>
      </c>
      <c r="I21" s="43">
        <v>20.0</v>
      </c>
      <c r="J21" s="43" t="s">
        <v>258</v>
      </c>
    </row>
    <row r="22" ht="18.0" customHeight="1">
      <c r="A22" s="40">
        <v>18.0</v>
      </c>
      <c r="B22" s="41">
        <v>3.0</v>
      </c>
      <c r="C22" s="42" t="s">
        <v>302</v>
      </c>
      <c r="D22" s="43" t="s">
        <v>303</v>
      </c>
      <c r="E22" s="43">
        <v>1.0</v>
      </c>
      <c r="F22" s="43" t="s">
        <v>257</v>
      </c>
      <c r="G22" s="43" t="s">
        <v>303</v>
      </c>
      <c r="H22" s="43" t="b">
        <f t="shared" si="4"/>
        <v>0</v>
      </c>
      <c r="I22" s="43">
        <v>30.0</v>
      </c>
      <c r="J22" s="43" t="s">
        <v>258</v>
      </c>
    </row>
    <row r="23" ht="21.75" customHeight="1">
      <c r="A23" s="44" t="s">
        <v>304</v>
      </c>
      <c r="B23" s="30"/>
      <c r="C23" s="30"/>
      <c r="D23" s="30"/>
      <c r="E23" s="30"/>
      <c r="F23" s="30"/>
      <c r="G23" s="30"/>
      <c r="H23" s="30"/>
      <c r="I23" s="30"/>
      <c r="J23" s="31"/>
    </row>
    <row r="24" ht="18.0" customHeight="1">
      <c r="A24" s="45">
        <v>19.0</v>
      </c>
      <c r="B24" s="46">
        <v>4.0</v>
      </c>
      <c r="C24" s="47" t="s">
        <v>305</v>
      </c>
      <c r="D24" s="48" t="s">
        <v>306</v>
      </c>
      <c r="E24" s="48">
        <v>1.0</v>
      </c>
      <c r="F24" s="48" t="s">
        <v>267</v>
      </c>
      <c r="G24" s="48"/>
      <c r="H24" s="48" t="b">
        <f t="shared" ref="H24:H26" si="5">FALSE()</f>
        <v>0</v>
      </c>
      <c r="I24" s="48">
        <v>10.0</v>
      </c>
      <c r="J24" s="48" t="s">
        <v>258</v>
      </c>
    </row>
    <row r="25" ht="18.0" customHeight="1">
      <c r="A25" s="45">
        <v>20.0</v>
      </c>
      <c r="B25" s="46">
        <v>4.0</v>
      </c>
      <c r="C25" s="47" t="s">
        <v>307</v>
      </c>
      <c r="D25" s="48" t="s">
        <v>308</v>
      </c>
      <c r="E25" s="48">
        <v>1.0</v>
      </c>
      <c r="F25" s="48" t="s">
        <v>267</v>
      </c>
      <c r="G25" s="48"/>
      <c r="H25" s="48" t="b">
        <f t="shared" si="5"/>
        <v>0</v>
      </c>
      <c r="I25" s="48">
        <v>20.0</v>
      </c>
      <c r="J25" s="48" t="s">
        <v>258</v>
      </c>
    </row>
    <row r="26" ht="18.0" customHeight="1">
      <c r="A26" s="45">
        <v>21.0</v>
      </c>
      <c r="B26" s="46">
        <v>4.0</v>
      </c>
      <c r="C26" s="47" t="s">
        <v>309</v>
      </c>
      <c r="D26" s="48" t="s">
        <v>310</v>
      </c>
      <c r="E26" s="48">
        <v>2.0</v>
      </c>
      <c r="F26" s="48" t="s">
        <v>269</v>
      </c>
      <c r="G26" s="48"/>
      <c r="H26" s="48" t="b">
        <f t="shared" si="5"/>
        <v>0</v>
      </c>
      <c r="I26" s="48">
        <v>30.0</v>
      </c>
      <c r="J26" s="48" t="s">
        <v>258</v>
      </c>
    </row>
    <row r="27" ht="21.75" customHeight="1">
      <c r="A27" s="49" t="s">
        <v>311</v>
      </c>
      <c r="B27" s="30"/>
      <c r="C27" s="30"/>
      <c r="D27" s="30"/>
      <c r="E27" s="30"/>
      <c r="F27" s="30"/>
      <c r="G27" s="30"/>
      <c r="H27" s="30"/>
      <c r="I27" s="30"/>
      <c r="J27" s="31"/>
    </row>
    <row r="28" ht="18.0" customHeight="1">
      <c r="A28" s="50">
        <v>22.0</v>
      </c>
      <c r="B28" s="51">
        <v>5.0</v>
      </c>
      <c r="C28" s="52" t="s">
        <v>312</v>
      </c>
      <c r="D28" s="53" t="s">
        <v>313</v>
      </c>
      <c r="E28" s="53">
        <v>1.0</v>
      </c>
      <c r="F28" s="53" t="s">
        <v>267</v>
      </c>
      <c r="G28" s="53" t="s">
        <v>314</v>
      </c>
      <c r="H28" s="53" t="b">
        <f t="shared" ref="H28:H30" si="6">FALSE()</f>
        <v>0</v>
      </c>
      <c r="I28" s="53">
        <v>10.0</v>
      </c>
      <c r="J28" s="53" t="s">
        <v>258</v>
      </c>
    </row>
    <row r="29" ht="18.0" customHeight="1">
      <c r="A29" s="50">
        <v>23.0</v>
      </c>
      <c r="B29" s="51">
        <v>5.0</v>
      </c>
      <c r="C29" s="52" t="s">
        <v>315</v>
      </c>
      <c r="D29" s="53" t="s">
        <v>316</v>
      </c>
      <c r="E29" s="53">
        <v>1.0</v>
      </c>
      <c r="F29" s="53" t="s">
        <v>257</v>
      </c>
      <c r="G29" s="53"/>
      <c r="H29" s="53" t="b">
        <f t="shared" si="6"/>
        <v>0</v>
      </c>
      <c r="I29" s="53">
        <v>20.0</v>
      </c>
      <c r="J29" s="53" t="s">
        <v>258</v>
      </c>
    </row>
    <row r="30" ht="18.0" customHeight="1">
      <c r="A30" s="50">
        <v>24.0</v>
      </c>
      <c r="B30" s="51">
        <v>5.0</v>
      </c>
      <c r="C30" s="52" t="s">
        <v>317</v>
      </c>
      <c r="D30" s="53" t="s">
        <v>318</v>
      </c>
      <c r="E30" s="53">
        <v>2.0</v>
      </c>
      <c r="F30" s="53" t="s">
        <v>269</v>
      </c>
      <c r="G30" s="53"/>
      <c r="H30" s="53" t="b">
        <f t="shared" si="6"/>
        <v>0</v>
      </c>
      <c r="I30" s="53">
        <v>30.0</v>
      </c>
      <c r="J30" s="53" t="s">
        <v>258</v>
      </c>
    </row>
    <row r="31" ht="21.75" customHeight="1">
      <c r="A31" s="54" t="s">
        <v>319</v>
      </c>
      <c r="B31" s="30"/>
      <c r="C31" s="30"/>
      <c r="D31" s="30"/>
      <c r="E31" s="30"/>
      <c r="F31" s="30"/>
      <c r="G31" s="30"/>
      <c r="H31" s="30"/>
      <c r="I31" s="30"/>
      <c r="J31" s="31"/>
    </row>
    <row r="32" ht="18.0" customHeight="1">
      <c r="A32" s="55">
        <v>25.0</v>
      </c>
      <c r="B32" s="56">
        <v>6.0</v>
      </c>
      <c r="C32" s="57" t="s">
        <v>320</v>
      </c>
      <c r="D32" s="58" t="s">
        <v>321</v>
      </c>
      <c r="E32" s="58">
        <v>1.0</v>
      </c>
      <c r="F32" s="58" t="s">
        <v>261</v>
      </c>
      <c r="G32" s="58"/>
      <c r="H32" s="58" t="b">
        <f t="shared" ref="H32:H34" si="7">FALSE()</f>
        <v>0</v>
      </c>
      <c r="I32" s="58">
        <v>10.0</v>
      </c>
      <c r="J32" s="58" t="s">
        <v>258</v>
      </c>
    </row>
    <row r="33" ht="18.0" customHeight="1">
      <c r="A33" s="55">
        <v>26.0</v>
      </c>
      <c r="B33" s="56">
        <v>6.0</v>
      </c>
      <c r="C33" s="57" t="s">
        <v>322</v>
      </c>
      <c r="D33" s="58" t="s">
        <v>323</v>
      </c>
      <c r="E33" s="58">
        <v>1.0</v>
      </c>
      <c r="F33" s="58" t="s">
        <v>267</v>
      </c>
      <c r="G33" s="58"/>
      <c r="H33" s="58" t="b">
        <f t="shared" si="7"/>
        <v>0</v>
      </c>
      <c r="I33" s="58">
        <v>20.0</v>
      </c>
      <c r="J33" s="58" t="s">
        <v>258</v>
      </c>
    </row>
    <row r="34" ht="18.0" customHeight="1">
      <c r="A34" s="55">
        <v>27.0</v>
      </c>
      <c r="B34" s="56">
        <v>6.0</v>
      </c>
      <c r="C34" s="57" t="s">
        <v>324</v>
      </c>
      <c r="D34" s="58" t="s">
        <v>325</v>
      </c>
      <c r="E34" s="58">
        <v>2.0</v>
      </c>
      <c r="F34" s="58" t="s">
        <v>269</v>
      </c>
      <c r="G34" s="58"/>
      <c r="H34" s="58" t="b">
        <f t="shared" si="7"/>
        <v>0</v>
      </c>
      <c r="I34" s="58">
        <v>30.0</v>
      </c>
      <c r="J34" s="58" t="s">
        <v>258</v>
      </c>
    </row>
    <row r="35" ht="21.75" customHeight="1">
      <c r="A35" s="59" t="s">
        <v>326</v>
      </c>
      <c r="B35" s="30"/>
      <c r="C35" s="30"/>
      <c r="D35" s="30"/>
      <c r="E35" s="30"/>
      <c r="F35" s="30"/>
      <c r="G35" s="30"/>
      <c r="H35" s="30"/>
      <c r="I35" s="30"/>
      <c r="J35" s="31"/>
    </row>
    <row r="36" ht="18.0" customHeight="1">
      <c r="A36" s="60">
        <v>28.0</v>
      </c>
      <c r="B36" s="61">
        <v>7.0</v>
      </c>
      <c r="C36" s="62" t="s">
        <v>327</v>
      </c>
      <c r="D36" s="63" t="s">
        <v>328</v>
      </c>
      <c r="E36" s="63">
        <v>1.0</v>
      </c>
      <c r="F36" s="63" t="s">
        <v>257</v>
      </c>
      <c r="G36" s="63" t="s">
        <v>329</v>
      </c>
      <c r="H36" s="63" t="b">
        <f t="shared" ref="H36:H38" si="8">FALSE()</f>
        <v>0</v>
      </c>
      <c r="I36" s="63">
        <v>10.0</v>
      </c>
      <c r="J36" s="63" t="s">
        <v>258</v>
      </c>
    </row>
    <row r="37" ht="18.0" customHeight="1">
      <c r="A37" s="60">
        <v>29.0</v>
      </c>
      <c r="B37" s="61">
        <v>7.0</v>
      </c>
      <c r="C37" s="62" t="s">
        <v>330</v>
      </c>
      <c r="D37" s="63" t="s">
        <v>331</v>
      </c>
      <c r="E37" s="63">
        <v>1.0</v>
      </c>
      <c r="F37" s="63" t="s">
        <v>267</v>
      </c>
      <c r="G37" s="63"/>
      <c r="H37" s="63" t="b">
        <f t="shared" si="8"/>
        <v>0</v>
      </c>
      <c r="I37" s="63">
        <v>20.0</v>
      </c>
      <c r="J37" s="63" t="s">
        <v>258</v>
      </c>
    </row>
    <row r="38" ht="18.0" customHeight="1">
      <c r="A38" s="60">
        <v>30.0</v>
      </c>
      <c r="B38" s="61">
        <v>7.0</v>
      </c>
      <c r="C38" s="62" t="s">
        <v>324</v>
      </c>
      <c r="D38" s="63" t="s">
        <v>325</v>
      </c>
      <c r="E38" s="63">
        <v>2.0</v>
      </c>
      <c r="F38" s="63" t="s">
        <v>269</v>
      </c>
      <c r="G38" s="63"/>
      <c r="H38" s="63" t="b">
        <f t="shared" si="8"/>
        <v>0</v>
      </c>
      <c r="I38" s="63">
        <v>30.0</v>
      </c>
      <c r="J38" s="63" t="s">
        <v>258</v>
      </c>
    </row>
    <row r="39" ht="21.75" customHeight="1">
      <c r="A39" s="64" t="s">
        <v>332</v>
      </c>
      <c r="B39" s="30"/>
      <c r="C39" s="30"/>
      <c r="D39" s="30"/>
      <c r="E39" s="30"/>
      <c r="F39" s="30"/>
      <c r="G39" s="30"/>
      <c r="H39" s="30"/>
      <c r="I39" s="30"/>
      <c r="J39" s="31"/>
    </row>
    <row r="40" ht="18.0" customHeight="1">
      <c r="A40" s="65">
        <v>31.0</v>
      </c>
      <c r="B40" s="66">
        <v>8.0</v>
      </c>
      <c r="C40" s="67" t="s">
        <v>333</v>
      </c>
      <c r="D40" s="68" t="s">
        <v>334</v>
      </c>
      <c r="E40" s="68">
        <v>1.0</v>
      </c>
      <c r="F40" s="68" t="s">
        <v>267</v>
      </c>
      <c r="G40" s="68"/>
      <c r="H40" s="68" t="b">
        <f t="shared" ref="H40:H42" si="9">FALSE()</f>
        <v>0</v>
      </c>
      <c r="I40" s="68">
        <v>10.0</v>
      </c>
      <c r="J40" s="68" t="s">
        <v>258</v>
      </c>
    </row>
    <row r="41" ht="18.0" customHeight="1">
      <c r="A41" s="65">
        <v>32.0</v>
      </c>
      <c r="B41" s="66">
        <v>8.0</v>
      </c>
      <c r="C41" s="67" t="s">
        <v>335</v>
      </c>
      <c r="D41" s="68" t="s">
        <v>336</v>
      </c>
      <c r="E41" s="68">
        <v>1.0</v>
      </c>
      <c r="F41" s="68" t="s">
        <v>257</v>
      </c>
      <c r="G41" s="68"/>
      <c r="H41" s="68" t="b">
        <f t="shared" si="9"/>
        <v>0</v>
      </c>
      <c r="I41" s="68">
        <v>20.0</v>
      </c>
      <c r="J41" s="68" t="s">
        <v>258</v>
      </c>
    </row>
    <row r="42" ht="18.0" customHeight="1">
      <c r="A42" s="65">
        <v>33.0</v>
      </c>
      <c r="B42" s="66">
        <v>8.0</v>
      </c>
      <c r="C42" s="67" t="s">
        <v>324</v>
      </c>
      <c r="D42" s="68" t="s">
        <v>325</v>
      </c>
      <c r="E42" s="68">
        <v>2.0</v>
      </c>
      <c r="F42" s="68" t="s">
        <v>269</v>
      </c>
      <c r="G42" s="68"/>
      <c r="H42" s="68" t="b">
        <f t="shared" si="9"/>
        <v>0</v>
      </c>
      <c r="I42" s="68">
        <v>30.0</v>
      </c>
      <c r="J42" s="68" t="s">
        <v>258</v>
      </c>
    </row>
    <row r="43" ht="21.75" customHeight="1">
      <c r="A43" s="69" t="s">
        <v>337</v>
      </c>
      <c r="B43" s="30"/>
      <c r="C43" s="30"/>
      <c r="D43" s="30"/>
      <c r="E43" s="30"/>
      <c r="F43" s="30"/>
      <c r="G43" s="30"/>
      <c r="H43" s="30"/>
      <c r="I43" s="30"/>
      <c r="J43" s="31"/>
    </row>
    <row r="44" ht="18.0" customHeight="1">
      <c r="A44" s="26">
        <v>34.0</v>
      </c>
      <c r="B44" s="70">
        <v>9.0</v>
      </c>
      <c r="C44" s="27" t="s">
        <v>338</v>
      </c>
      <c r="D44" s="71" t="s">
        <v>339</v>
      </c>
      <c r="E44" s="71">
        <v>1.0</v>
      </c>
      <c r="F44" s="71" t="s">
        <v>267</v>
      </c>
      <c r="G44" s="71"/>
      <c r="H44" s="71" t="b">
        <f t="shared" ref="H44:H46" si="10">FALSE()</f>
        <v>0</v>
      </c>
      <c r="I44" s="71">
        <v>10.0</v>
      </c>
      <c r="J44" s="71" t="s">
        <v>258</v>
      </c>
    </row>
    <row r="45" ht="18.0" customHeight="1">
      <c r="A45" s="26">
        <v>35.0</v>
      </c>
      <c r="B45" s="70">
        <v>9.0</v>
      </c>
      <c r="C45" s="27" t="s">
        <v>340</v>
      </c>
      <c r="D45" s="71" t="s">
        <v>341</v>
      </c>
      <c r="E45" s="71">
        <v>2.0</v>
      </c>
      <c r="F45" s="71" t="s">
        <v>269</v>
      </c>
      <c r="G45" s="71"/>
      <c r="H45" s="71" t="b">
        <f t="shared" si="10"/>
        <v>0</v>
      </c>
      <c r="I45" s="71">
        <v>20.0</v>
      </c>
      <c r="J45" s="71" t="s">
        <v>258</v>
      </c>
    </row>
    <row r="46" ht="18.0" customHeight="1">
      <c r="A46" s="26">
        <v>36.0</v>
      </c>
      <c r="B46" s="70">
        <v>9.0</v>
      </c>
      <c r="C46" s="27" t="s">
        <v>342</v>
      </c>
      <c r="D46" s="71" t="s">
        <v>343</v>
      </c>
      <c r="E46" s="71">
        <v>1.0</v>
      </c>
      <c r="F46" s="71" t="s">
        <v>261</v>
      </c>
      <c r="G46" s="71"/>
      <c r="H46" s="71" t="b">
        <f t="shared" si="10"/>
        <v>0</v>
      </c>
      <c r="I46" s="71">
        <v>30.0</v>
      </c>
      <c r="J46" s="71" t="s">
        <v>258</v>
      </c>
    </row>
    <row r="47" ht="21.75" customHeight="1">
      <c r="A47" s="54" t="s">
        <v>344</v>
      </c>
      <c r="B47" s="30"/>
      <c r="C47" s="30"/>
      <c r="D47" s="30"/>
      <c r="E47" s="30"/>
      <c r="F47" s="30"/>
      <c r="G47" s="30"/>
      <c r="H47" s="30"/>
      <c r="I47" s="30"/>
      <c r="J47" s="31"/>
    </row>
    <row r="48" ht="18.0" customHeight="1">
      <c r="A48" s="55">
        <v>37.0</v>
      </c>
      <c r="B48" s="56">
        <v>10.0</v>
      </c>
      <c r="C48" s="57" t="s">
        <v>345</v>
      </c>
      <c r="D48" s="58" t="s">
        <v>346</v>
      </c>
      <c r="E48" s="58">
        <v>1.0</v>
      </c>
      <c r="F48" s="58" t="s">
        <v>261</v>
      </c>
      <c r="G48" s="58"/>
      <c r="H48" s="58" t="b">
        <f t="shared" ref="H48:H50" si="11">FALSE()</f>
        <v>0</v>
      </c>
      <c r="I48" s="58">
        <v>10.0</v>
      </c>
      <c r="J48" s="58" t="s">
        <v>258</v>
      </c>
    </row>
    <row r="49" ht="18.0" customHeight="1">
      <c r="A49" s="55">
        <v>38.0</v>
      </c>
      <c r="B49" s="56">
        <v>10.0</v>
      </c>
      <c r="C49" s="57" t="s">
        <v>347</v>
      </c>
      <c r="D49" s="58" t="s">
        <v>348</v>
      </c>
      <c r="E49" s="58">
        <v>1.0</v>
      </c>
      <c r="F49" s="58" t="s">
        <v>261</v>
      </c>
      <c r="G49" s="58" t="s">
        <v>349</v>
      </c>
      <c r="H49" s="58" t="b">
        <f t="shared" si="11"/>
        <v>0</v>
      </c>
      <c r="I49" s="58">
        <v>20.0</v>
      </c>
      <c r="J49" s="58" t="s">
        <v>258</v>
      </c>
    </row>
    <row r="50" ht="18.0" customHeight="1">
      <c r="A50" s="55">
        <v>39.0</v>
      </c>
      <c r="B50" s="56">
        <v>10.0</v>
      </c>
      <c r="C50" s="57" t="s">
        <v>350</v>
      </c>
      <c r="D50" s="58" t="s">
        <v>351</v>
      </c>
      <c r="E50" s="58">
        <v>2.0</v>
      </c>
      <c r="F50" s="58" t="s">
        <v>269</v>
      </c>
      <c r="G50" s="58"/>
      <c r="H50" s="58" t="b">
        <f t="shared" si="11"/>
        <v>0</v>
      </c>
      <c r="I50" s="58">
        <v>30.0</v>
      </c>
      <c r="J50" s="58" t="s">
        <v>258</v>
      </c>
    </row>
    <row r="51" ht="21.75" customHeight="1">
      <c r="A51" s="72" t="s">
        <v>352</v>
      </c>
      <c r="B51" s="30"/>
      <c r="C51" s="30"/>
      <c r="D51" s="30"/>
      <c r="E51" s="30"/>
      <c r="F51" s="30"/>
      <c r="G51" s="30"/>
      <c r="H51" s="30"/>
      <c r="I51" s="30"/>
      <c r="J51" s="31"/>
    </row>
    <row r="52" ht="18.0" customHeight="1">
      <c r="A52" s="73">
        <v>40.0</v>
      </c>
      <c r="B52" s="74">
        <v>11.0</v>
      </c>
      <c r="C52" s="75" t="s">
        <v>353</v>
      </c>
      <c r="D52" s="76" t="s">
        <v>354</v>
      </c>
      <c r="E52" s="76">
        <v>1.0</v>
      </c>
      <c r="F52" s="76" t="s">
        <v>264</v>
      </c>
      <c r="G52" s="76"/>
      <c r="H52" s="76" t="b">
        <f t="shared" ref="H52:H54" si="12">FALSE()</f>
        <v>0</v>
      </c>
      <c r="I52" s="76">
        <v>10.0</v>
      </c>
      <c r="J52" s="76" t="s">
        <v>258</v>
      </c>
    </row>
    <row r="53" ht="18.0" customHeight="1">
      <c r="A53" s="73">
        <v>41.0</v>
      </c>
      <c r="B53" s="74">
        <v>11.0</v>
      </c>
      <c r="C53" s="75" t="s">
        <v>355</v>
      </c>
      <c r="D53" s="76" t="s">
        <v>356</v>
      </c>
      <c r="E53" s="76">
        <v>1.0</v>
      </c>
      <c r="F53" s="76" t="s">
        <v>267</v>
      </c>
      <c r="G53" s="76"/>
      <c r="H53" s="76" t="b">
        <f t="shared" si="12"/>
        <v>0</v>
      </c>
      <c r="I53" s="76">
        <v>20.0</v>
      </c>
      <c r="J53" s="76" t="s">
        <v>258</v>
      </c>
    </row>
    <row r="54" ht="18.0" customHeight="1">
      <c r="A54" s="73">
        <v>42.0</v>
      </c>
      <c r="B54" s="74">
        <v>11.0</v>
      </c>
      <c r="C54" s="75" t="s">
        <v>357</v>
      </c>
      <c r="D54" s="76" t="s">
        <v>358</v>
      </c>
      <c r="E54" s="76">
        <v>2.0</v>
      </c>
      <c r="F54" s="76" t="s">
        <v>269</v>
      </c>
      <c r="G54" s="76"/>
      <c r="H54" s="76" t="b">
        <f t="shared" si="12"/>
        <v>0</v>
      </c>
      <c r="I54" s="76">
        <v>30.0</v>
      </c>
      <c r="J54" s="76" t="s">
        <v>258</v>
      </c>
    </row>
    <row r="55" ht="21.75" customHeight="1">
      <c r="A55" s="77" t="s">
        <v>359</v>
      </c>
      <c r="B55" s="30"/>
      <c r="C55" s="30"/>
      <c r="D55" s="30"/>
      <c r="E55" s="30"/>
      <c r="F55" s="30"/>
      <c r="G55" s="30"/>
      <c r="H55" s="30"/>
      <c r="I55" s="30"/>
      <c r="J55" s="31"/>
    </row>
    <row r="56" ht="18.0" customHeight="1">
      <c r="A56" s="78">
        <v>43.0</v>
      </c>
      <c r="B56" s="79">
        <v>12.0</v>
      </c>
      <c r="C56" s="80" t="s">
        <v>360</v>
      </c>
      <c r="D56" s="81" t="s">
        <v>361</v>
      </c>
      <c r="E56" s="81">
        <v>1.0</v>
      </c>
      <c r="F56" s="81" t="s">
        <v>257</v>
      </c>
      <c r="G56" s="81" t="s">
        <v>329</v>
      </c>
      <c r="H56" s="81" t="b">
        <f t="shared" ref="H56:H58" si="13">FALSE()</f>
        <v>0</v>
      </c>
      <c r="I56" s="81">
        <v>10.0</v>
      </c>
      <c r="J56" s="81" t="s">
        <v>258</v>
      </c>
    </row>
    <row r="57" ht="18.0" customHeight="1">
      <c r="A57" s="78">
        <v>44.0</v>
      </c>
      <c r="B57" s="79">
        <v>12.0</v>
      </c>
      <c r="C57" s="80" t="s">
        <v>362</v>
      </c>
      <c r="D57" s="81" t="s">
        <v>363</v>
      </c>
      <c r="E57" s="81">
        <v>1.0</v>
      </c>
      <c r="F57" s="81" t="s">
        <v>267</v>
      </c>
      <c r="G57" s="81" t="s">
        <v>364</v>
      </c>
      <c r="H57" s="81" t="b">
        <f t="shared" si="13"/>
        <v>0</v>
      </c>
      <c r="I57" s="81">
        <v>20.0</v>
      </c>
      <c r="J57" s="81" t="s">
        <v>258</v>
      </c>
    </row>
    <row r="58" ht="18.0" customHeight="1">
      <c r="A58" s="78">
        <v>45.0</v>
      </c>
      <c r="B58" s="79">
        <v>12.0</v>
      </c>
      <c r="C58" s="80" t="s">
        <v>365</v>
      </c>
      <c r="D58" s="81" t="s">
        <v>366</v>
      </c>
      <c r="E58" s="81">
        <v>1.0</v>
      </c>
      <c r="F58" s="81" t="s">
        <v>267</v>
      </c>
      <c r="G58" s="81" t="s">
        <v>367</v>
      </c>
      <c r="H58" s="81" t="b">
        <f t="shared" si="13"/>
        <v>0</v>
      </c>
      <c r="I58" s="81">
        <v>30.0</v>
      </c>
      <c r="J58" s="81" t="s">
        <v>258</v>
      </c>
    </row>
    <row r="59" ht="21.75" customHeight="1">
      <c r="A59" s="82" t="s">
        <v>368</v>
      </c>
      <c r="B59" s="30"/>
      <c r="C59" s="30"/>
      <c r="D59" s="30"/>
      <c r="E59" s="30"/>
      <c r="F59" s="30"/>
      <c r="G59" s="30"/>
      <c r="H59" s="30"/>
      <c r="I59" s="30"/>
      <c r="J59" s="31"/>
    </row>
    <row r="60" ht="18.0" customHeight="1">
      <c r="A60" s="83">
        <v>46.0</v>
      </c>
      <c r="B60" s="84">
        <v>13.0</v>
      </c>
      <c r="C60" s="85" t="s">
        <v>369</v>
      </c>
      <c r="D60" s="86" t="s">
        <v>370</v>
      </c>
      <c r="E60" s="86">
        <v>2.0</v>
      </c>
      <c r="F60" s="86" t="s">
        <v>269</v>
      </c>
      <c r="G60" s="86"/>
      <c r="H60" s="86" t="b">
        <f t="shared" ref="H60:H62" si="14">FALSE()</f>
        <v>0</v>
      </c>
      <c r="I60" s="86">
        <v>10.0</v>
      </c>
      <c r="J60" s="86" t="s">
        <v>258</v>
      </c>
    </row>
    <row r="61" ht="18.0" customHeight="1">
      <c r="A61" s="83">
        <v>47.0</v>
      </c>
      <c r="B61" s="84">
        <v>13.0</v>
      </c>
      <c r="C61" s="85" t="s">
        <v>371</v>
      </c>
      <c r="D61" s="86" t="s">
        <v>277</v>
      </c>
      <c r="E61" s="86">
        <v>3.0</v>
      </c>
      <c r="F61" s="86" t="s">
        <v>278</v>
      </c>
      <c r="G61" s="86"/>
      <c r="H61" s="86" t="b">
        <f t="shared" si="14"/>
        <v>0</v>
      </c>
      <c r="I61" s="86">
        <v>20.0</v>
      </c>
      <c r="J61" s="86" t="s">
        <v>258</v>
      </c>
    </row>
    <row r="62" ht="18.0" customHeight="1">
      <c r="A62" s="83">
        <v>48.0</v>
      </c>
      <c r="B62" s="84">
        <v>13.0</v>
      </c>
      <c r="C62" s="85" t="s">
        <v>279</v>
      </c>
      <c r="D62" s="86" t="s">
        <v>280</v>
      </c>
      <c r="E62" s="86">
        <v>3.0</v>
      </c>
      <c r="F62" s="86" t="s">
        <v>281</v>
      </c>
      <c r="G62" s="86"/>
      <c r="H62" s="86" t="b">
        <f t="shared" si="14"/>
        <v>0</v>
      </c>
      <c r="I62" s="86">
        <v>30.0</v>
      </c>
      <c r="J62" s="86" t="s">
        <v>258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39:J39"/>
    <mergeCell ref="A43:J43"/>
    <mergeCell ref="A47:J47"/>
    <mergeCell ref="A51:J51"/>
    <mergeCell ref="A55:J55"/>
    <mergeCell ref="A59:J59"/>
    <mergeCell ref="A2:J2"/>
    <mergeCell ref="A15:J15"/>
    <mergeCell ref="A19:J19"/>
    <mergeCell ref="A23:J23"/>
    <mergeCell ref="A27:J27"/>
    <mergeCell ref="A31:J31"/>
    <mergeCell ref="A35:J3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44.0"/>
    <col customWidth="1" min="4" max="4" width="36.0"/>
    <col customWidth="1" min="5" max="6" width="14.0"/>
    <col customWidth="1" min="7" max="7" width="10.0"/>
    <col customWidth="1" min="8" max="8" width="44.0"/>
    <col customWidth="1" min="9" max="26" width="8.71"/>
  </cols>
  <sheetData>
    <row r="1" ht="30.0" customHeight="1">
      <c r="A1" s="87" t="s">
        <v>372</v>
      </c>
      <c r="B1" s="87" t="s">
        <v>373</v>
      </c>
      <c r="C1" s="87" t="s">
        <v>32</v>
      </c>
      <c r="D1" s="87" t="s">
        <v>36</v>
      </c>
      <c r="E1" s="87" t="s">
        <v>89</v>
      </c>
      <c r="F1" s="87" t="s">
        <v>93</v>
      </c>
      <c r="G1" s="87" t="s">
        <v>73</v>
      </c>
      <c r="H1" s="87" t="s">
        <v>98</v>
      </c>
    </row>
    <row r="2" ht="21.75" customHeight="1">
      <c r="A2" s="29" t="s">
        <v>374</v>
      </c>
      <c r="B2" s="30"/>
      <c r="C2" s="30"/>
      <c r="D2" s="30"/>
      <c r="E2" s="30"/>
      <c r="F2" s="30"/>
      <c r="G2" s="30"/>
      <c r="H2" s="31"/>
    </row>
    <row r="3" ht="18.0" customHeight="1">
      <c r="A3" s="23">
        <v>1.0</v>
      </c>
      <c r="B3" s="32">
        <v>1.0</v>
      </c>
      <c r="C3" s="24" t="s">
        <v>375</v>
      </c>
      <c r="D3" s="33" t="s">
        <v>376</v>
      </c>
      <c r="E3" s="33" t="s">
        <v>377</v>
      </c>
      <c r="F3" s="33" t="b">
        <f t="shared" ref="F3:F5" si="1">TRUE()</f>
        <v>1</v>
      </c>
      <c r="G3" s="33">
        <v>10.0</v>
      </c>
      <c r="H3" s="24" t="s">
        <v>378</v>
      </c>
    </row>
    <row r="4" ht="18.0" customHeight="1">
      <c r="A4" s="23">
        <v>2.0</v>
      </c>
      <c r="B4" s="32">
        <v>1.0</v>
      </c>
      <c r="C4" s="24" t="s">
        <v>379</v>
      </c>
      <c r="D4" s="33" t="s">
        <v>380</v>
      </c>
      <c r="E4" s="33" t="s">
        <v>381</v>
      </c>
      <c r="F4" s="33" t="b">
        <f t="shared" si="1"/>
        <v>1</v>
      </c>
      <c r="G4" s="33">
        <v>20.0</v>
      </c>
      <c r="H4" s="24"/>
    </row>
    <row r="5" ht="18.0" customHeight="1">
      <c r="A5" s="23">
        <v>3.0</v>
      </c>
      <c r="B5" s="32">
        <v>1.0</v>
      </c>
      <c r="C5" s="24" t="s">
        <v>382</v>
      </c>
      <c r="D5" s="33" t="s">
        <v>383</v>
      </c>
      <c r="E5" s="33" t="s">
        <v>381</v>
      </c>
      <c r="F5" s="33" t="b">
        <f t="shared" si="1"/>
        <v>1</v>
      </c>
      <c r="G5" s="33">
        <v>30.0</v>
      </c>
      <c r="H5" s="24"/>
    </row>
    <row r="6" ht="18.0" customHeight="1">
      <c r="A6" s="23">
        <v>4.0</v>
      </c>
      <c r="B6" s="32">
        <v>1.0</v>
      </c>
      <c r="C6" s="24" t="s">
        <v>384</v>
      </c>
      <c r="D6" s="33" t="s">
        <v>385</v>
      </c>
      <c r="E6" s="33" t="s">
        <v>381</v>
      </c>
      <c r="F6" s="33" t="b">
        <f t="shared" ref="F6:F8" si="2">FALSE()</f>
        <v>0</v>
      </c>
      <c r="G6" s="33">
        <v>40.0</v>
      </c>
      <c r="H6" s="24"/>
    </row>
    <row r="7" ht="18.0" customHeight="1">
      <c r="A7" s="23">
        <v>5.0</v>
      </c>
      <c r="B7" s="32">
        <v>1.0</v>
      </c>
      <c r="C7" s="24" t="s">
        <v>386</v>
      </c>
      <c r="D7" s="33" t="s">
        <v>387</v>
      </c>
      <c r="E7" s="33" t="s">
        <v>388</v>
      </c>
      <c r="F7" s="33" t="b">
        <f t="shared" si="2"/>
        <v>0</v>
      </c>
      <c r="G7" s="33">
        <v>50.0</v>
      </c>
      <c r="H7" s="24"/>
    </row>
    <row r="8" ht="18.0" customHeight="1">
      <c r="A8" s="23">
        <v>6.0</v>
      </c>
      <c r="B8" s="32">
        <v>1.0</v>
      </c>
      <c r="C8" s="24" t="s">
        <v>389</v>
      </c>
      <c r="D8" s="33" t="s">
        <v>390</v>
      </c>
      <c r="E8" s="33" t="s">
        <v>388</v>
      </c>
      <c r="F8" s="33" t="b">
        <f t="shared" si="2"/>
        <v>0</v>
      </c>
      <c r="G8" s="33">
        <v>60.0</v>
      </c>
      <c r="H8" s="24" t="s">
        <v>391</v>
      </c>
    </row>
    <row r="9" ht="18.0" customHeight="1">
      <c r="A9" s="23">
        <v>7.0</v>
      </c>
      <c r="B9" s="32">
        <v>2.0</v>
      </c>
      <c r="C9" s="24" t="s">
        <v>392</v>
      </c>
      <c r="D9" s="33" t="s">
        <v>393</v>
      </c>
      <c r="E9" s="33" t="s">
        <v>381</v>
      </c>
      <c r="F9" s="33" t="b">
        <f t="shared" ref="F9:F10" si="3">TRUE()</f>
        <v>1</v>
      </c>
      <c r="G9" s="33">
        <v>10.0</v>
      </c>
      <c r="H9" s="24" t="s">
        <v>394</v>
      </c>
    </row>
    <row r="10" ht="18.0" customHeight="1">
      <c r="A10" s="23">
        <v>8.0</v>
      </c>
      <c r="B10" s="32">
        <v>2.0</v>
      </c>
      <c r="C10" s="24" t="s">
        <v>395</v>
      </c>
      <c r="D10" s="33" t="s">
        <v>396</v>
      </c>
      <c r="E10" s="33" t="s">
        <v>381</v>
      </c>
      <c r="F10" s="33" t="b">
        <f t="shared" si="3"/>
        <v>1</v>
      </c>
      <c r="G10" s="33">
        <v>20.0</v>
      </c>
      <c r="H10" s="24"/>
    </row>
    <row r="11" ht="18.0" customHeight="1">
      <c r="A11" s="23">
        <v>9.0</v>
      </c>
      <c r="B11" s="32">
        <v>2.0</v>
      </c>
      <c r="C11" s="24" t="s">
        <v>397</v>
      </c>
      <c r="D11" s="33" t="s">
        <v>398</v>
      </c>
      <c r="E11" s="33" t="s">
        <v>388</v>
      </c>
      <c r="F11" s="33" t="b">
        <f>FALSE()</f>
        <v>0</v>
      </c>
      <c r="G11" s="33">
        <v>30.0</v>
      </c>
      <c r="H11" s="24"/>
    </row>
    <row r="12" ht="18.0" customHeight="1">
      <c r="A12" s="23">
        <v>10.0</v>
      </c>
      <c r="B12" s="32">
        <v>3.0</v>
      </c>
      <c r="C12" s="24" t="s">
        <v>399</v>
      </c>
      <c r="D12" s="33" t="s">
        <v>399</v>
      </c>
      <c r="E12" s="33" t="s">
        <v>388</v>
      </c>
      <c r="F12" s="33" t="b">
        <f t="shared" ref="F12:F13" si="4">TRUE()</f>
        <v>1</v>
      </c>
      <c r="G12" s="33">
        <v>10.0</v>
      </c>
      <c r="H12" s="24" t="s">
        <v>400</v>
      </c>
    </row>
    <row r="13" ht="18.0" customHeight="1">
      <c r="A13" s="23">
        <v>11.0</v>
      </c>
      <c r="B13" s="32">
        <v>3.0</v>
      </c>
      <c r="C13" s="24" t="s">
        <v>401</v>
      </c>
      <c r="D13" s="33" t="s">
        <v>402</v>
      </c>
      <c r="E13" s="33" t="s">
        <v>388</v>
      </c>
      <c r="F13" s="33" t="b">
        <f t="shared" si="4"/>
        <v>1</v>
      </c>
      <c r="G13" s="33">
        <v>20.0</v>
      </c>
      <c r="H13" s="24" t="s">
        <v>403</v>
      </c>
    </row>
    <row r="14" ht="18.0" customHeight="1">
      <c r="A14" s="23">
        <v>12.0</v>
      </c>
      <c r="B14" s="32">
        <v>3.0</v>
      </c>
      <c r="C14" s="24" t="s">
        <v>404</v>
      </c>
      <c r="D14" s="33" t="s">
        <v>404</v>
      </c>
      <c r="E14" s="33" t="s">
        <v>388</v>
      </c>
      <c r="F14" s="33" t="b">
        <f t="shared" ref="F14:F16" si="5">FALSE()</f>
        <v>0</v>
      </c>
      <c r="G14" s="33">
        <v>30.0</v>
      </c>
      <c r="H14" s="24"/>
    </row>
    <row r="15" ht="18.0" customHeight="1">
      <c r="A15" s="23">
        <v>13.0</v>
      </c>
      <c r="B15" s="32">
        <v>3.0</v>
      </c>
      <c r="C15" s="24" t="s">
        <v>405</v>
      </c>
      <c r="D15" s="33" t="s">
        <v>406</v>
      </c>
      <c r="E15" s="33" t="s">
        <v>388</v>
      </c>
      <c r="F15" s="33" t="b">
        <f t="shared" si="5"/>
        <v>0</v>
      </c>
      <c r="G15" s="33">
        <v>40.0</v>
      </c>
      <c r="H15" s="24" t="s">
        <v>407</v>
      </c>
    </row>
    <row r="16" ht="18.0" customHeight="1">
      <c r="A16" s="23">
        <v>14.0</v>
      </c>
      <c r="B16" s="32">
        <v>3.0</v>
      </c>
      <c r="C16" s="24" t="s">
        <v>408</v>
      </c>
      <c r="D16" s="33" t="s">
        <v>409</v>
      </c>
      <c r="E16" s="33" t="s">
        <v>388</v>
      </c>
      <c r="F16" s="33" t="b">
        <f t="shared" si="5"/>
        <v>0</v>
      </c>
      <c r="G16" s="33">
        <v>50.0</v>
      </c>
      <c r="H16" s="24" t="s">
        <v>410</v>
      </c>
    </row>
    <row r="17" ht="18.0" customHeight="1">
      <c r="A17" s="23">
        <v>15.0</v>
      </c>
      <c r="B17" s="32">
        <v>4.0</v>
      </c>
      <c r="C17" s="24" t="s">
        <v>411</v>
      </c>
      <c r="D17" s="33" t="s">
        <v>412</v>
      </c>
      <c r="E17" s="33" t="s">
        <v>413</v>
      </c>
      <c r="F17" s="33" t="b">
        <f>TRUE()</f>
        <v>1</v>
      </c>
      <c r="G17" s="33">
        <v>10.0</v>
      </c>
      <c r="H17" s="24" t="s">
        <v>414</v>
      </c>
    </row>
    <row r="18" ht="18.0" customHeight="1">
      <c r="A18" s="23">
        <v>16.0</v>
      </c>
      <c r="B18" s="32">
        <v>4.0</v>
      </c>
      <c r="C18" s="24" t="s">
        <v>415</v>
      </c>
      <c r="D18" s="33" t="s">
        <v>416</v>
      </c>
      <c r="E18" s="33" t="s">
        <v>388</v>
      </c>
      <c r="F18" s="33" t="b">
        <f>FALSE()</f>
        <v>0</v>
      </c>
      <c r="G18" s="33">
        <v>20.0</v>
      </c>
      <c r="H18" s="24" t="s">
        <v>417</v>
      </c>
    </row>
    <row r="19" ht="18.0" customHeight="1">
      <c r="A19" s="23">
        <v>17.0</v>
      </c>
      <c r="B19" s="32">
        <v>5.0</v>
      </c>
      <c r="C19" s="24" t="s">
        <v>418</v>
      </c>
      <c r="D19" s="33" t="s">
        <v>419</v>
      </c>
      <c r="E19" s="33" t="s">
        <v>420</v>
      </c>
      <c r="F19" s="33" t="b">
        <f t="shared" ref="F19:F20" si="6">TRUE()</f>
        <v>1</v>
      </c>
      <c r="G19" s="33">
        <v>10.0</v>
      </c>
      <c r="H19" s="24"/>
    </row>
    <row r="20" ht="18.0" customHeight="1">
      <c r="A20" s="23">
        <v>18.0</v>
      </c>
      <c r="B20" s="32">
        <v>5.0</v>
      </c>
      <c r="C20" s="24" t="s">
        <v>421</v>
      </c>
      <c r="D20" s="33" t="s">
        <v>422</v>
      </c>
      <c r="E20" s="33" t="s">
        <v>420</v>
      </c>
      <c r="F20" s="33" t="b">
        <f t="shared" si="6"/>
        <v>1</v>
      </c>
      <c r="G20" s="33">
        <v>20.0</v>
      </c>
      <c r="H20" s="24"/>
    </row>
    <row r="21" ht="18.0" customHeight="1">
      <c r="A21" s="23">
        <v>19.0</v>
      </c>
      <c r="B21" s="32">
        <v>6.0</v>
      </c>
      <c r="C21" s="24" t="s">
        <v>423</v>
      </c>
      <c r="D21" s="33" t="s">
        <v>424</v>
      </c>
      <c r="E21" s="33" t="s">
        <v>425</v>
      </c>
      <c r="F21" s="33" t="b">
        <f t="shared" ref="F21:F22" si="7">FALSE()</f>
        <v>0</v>
      </c>
      <c r="G21" s="33">
        <v>10.0</v>
      </c>
      <c r="H21" s="24"/>
    </row>
    <row r="22" ht="18.0" customHeight="1">
      <c r="A22" s="23">
        <v>20.0</v>
      </c>
      <c r="B22" s="32">
        <v>6.0</v>
      </c>
      <c r="C22" s="24" t="s">
        <v>426</v>
      </c>
      <c r="D22" s="33" t="s">
        <v>427</v>
      </c>
      <c r="E22" s="33" t="s">
        <v>425</v>
      </c>
      <c r="F22" s="33" t="b">
        <f t="shared" si="7"/>
        <v>0</v>
      </c>
      <c r="G22" s="33">
        <v>20.0</v>
      </c>
      <c r="H22" s="24"/>
    </row>
    <row r="23" ht="18.0" customHeight="1">
      <c r="A23" s="23">
        <v>21.0</v>
      </c>
      <c r="B23" s="32">
        <v>7.0</v>
      </c>
      <c r="C23" s="24" t="s">
        <v>428</v>
      </c>
      <c r="D23" s="33" t="s">
        <v>429</v>
      </c>
      <c r="E23" s="33" t="s">
        <v>430</v>
      </c>
      <c r="F23" s="33" t="b">
        <f t="shared" ref="F23:F26" si="8">TRUE()</f>
        <v>1</v>
      </c>
      <c r="G23" s="33">
        <v>10.0</v>
      </c>
      <c r="H23" s="24"/>
    </row>
    <row r="24" ht="18.0" customHeight="1">
      <c r="A24" s="23">
        <v>22.0</v>
      </c>
      <c r="B24" s="32">
        <v>7.0</v>
      </c>
      <c r="C24" s="24" t="s">
        <v>431</v>
      </c>
      <c r="D24" s="33" t="s">
        <v>432</v>
      </c>
      <c r="E24" s="33" t="s">
        <v>430</v>
      </c>
      <c r="F24" s="33" t="b">
        <f t="shared" si="8"/>
        <v>1</v>
      </c>
      <c r="G24" s="33">
        <v>20.0</v>
      </c>
      <c r="H24" s="24"/>
    </row>
    <row r="25" ht="18.0" customHeight="1">
      <c r="A25" s="23">
        <v>23.0</v>
      </c>
      <c r="B25" s="32">
        <v>7.0</v>
      </c>
      <c r="C25" s="24" t="s">
        <v>433</v>
      </c>
      <c r="D25" s="33" t="s">
        <v>434</v>
      </c>
      <c r="E25" s="33" t="s">
        <v>430</v>
      </c>
      <c r="F25" s="33" t="b">
        <f t="shared" si="8"/>
        <v>1</v>
      </c>
      <c r="G25" s="33">
        <v>30.0</v>
      </c>
      <c r="H25" s="24"/>
    </row>
    <row r="26" ht="18.0" customHeight="1">
      <c r="A26" s="23">
        <v>24.0</v>
      </c>
      <c r="B26" s="32">
        <v>8.0</v>
      </c>
      <c r="C26" s="24" t="s">
        <v>435</v>
      </c>
      <c r="D26" s="33" t="s">
        <v>436</v>
      </c>
      <c r="E26" s="33" t="s">
        <v>430</v>
      </c>
      <c r="F26" s="33" t="b">
        <f t="shared" si="8"/>
        <v>1</v>
      </c>
      <c r="G26" s="33">
        <v>10.0</v>
      </c>
      <c r="H26" s="24"/>
    </row>
    <row r="27" ht="18.0" customHeight="1">
      <c r="A27" s="23">
        <v>25.0</v>
      </c>
      <c r="B27" s="32">
        <v>8.0</v>
      </c>
      <c r="C27" s="24" t="s">
        <v>437</v>
      </c>
      <c r="D27" s="33" t="s">
        <v>438</v>
      </c>
      <c r="E27" s="33" t="s">
        <v>430</v>
      </c>
      <c r="F27" s="33" t="b">
        <f t="shared" ref="F27:F28" si="9">FALSE()</f>
        <v>0</v>
      </c>
      <c r="G27" s="33">
        <v>20.0</v>
      </c>
      <c r="H27" s="24"/>
    </row>
    <row r="28" ht="18.0" customHeight="1">
      <c r="A28" s="23">
        <v>26.0</v>
      </c>
      <c r="B28" s="32">
        <v>8.0</v>
      </c>
      <c r="C28" s="24" t="s">
        <v>439</v>
      </c>
      <c r="D28" s="33" t="s">
        <v>440</v>
      </c>
      <c r="E28" s="33" t="s">
        <v>430</v>
      </c>
      <c r="F28" s="33" t="b">
        <f t="shared" si="9"/>
        <v>0</v>
      </c>
      <c r="G28" s="33">
        <v>30.0</v>
      </c>
      <c r="H28" s="24"/>
    </row>
    <row r="29" ht="18.0" customHeight="1">
      <c r="A29" s="23">
        <v>27.0</v>
      </c>
      <c r="B29" s="32">
        <v>9.0</v>
      </c>
      <c r="C29" s="24" t="s">
        <v>441</v>
      </c>
      <c r="D29" s="33" t="s">
        <v>442</v>
      </c>
      <c r="E29" s="33" t="s">
        <v>388</v>
      </c>
      <c r="F29" s="33" t="b">
        <f>TRUE()</f>
        <v>1</v>
      </c>
      <c r="G29" s="33">
        <v>10.0</v>
      </c>
      <c r="H29" s="24"/>
    </row>
    <row r="30" ht="18.0" customHeight="1">
      <c r="A30" s="23">
        <v>28.0</v>
      </c>
      <c r="B30" s="32">
        <v>9.0</v>
      </c>
      <c r="C30" s="24" t="s">
        <v>443</v>
      </c>
      <c r="D30" s="33" t="s">
        <v>444</v>
      </c>
      <c r="E30" s="33" t="s">
        <v>388</v>
      </c>
      <c r="F30" s="33" t="b">
        <f t="shared" ref="F30:F31" si="10">FALSE()</f>
        <v>0</v>
      </c>
      <c r="G30" s="33">
        <v>20.0</v>
      </c>
      <c r="H30" s="24"/>
    </row>
    <row r="31" ht="18.0" customHeight="1">
      <c r="A31" s="23">
        <v>29.0</v>
      </c>
      <c r="B31" s="32">
        <v>9.0</v>
      </c>
      <c r="C31" s="24" t="s">
        <v>445</v>
      </c>
      <c r="D31" s="33" t="s">
        <v>446</v>
      </c>
      <c r="E31" s="33" t="s">
        <v>388</v>
      </c>
      <c r="F31" s="33" t="b">
        <f t="shared" si="10"/>
        <v>0</v>
      </c>
      <c r="G31" s="33">
        <v>30.0</v>
      </c>
      <c r="H31" s="24"/>
    </row>
    <row r="32" ht="18.0" customHeight="1">
      <c r="A32" s="23">
        <v>30.0</v>
      </c>
      <c r="B32" s="32">
        <v>10.0</v>
      </c>
      <c r="C32" s="24" t="s">
        <v>447</v>
      </c>
      <c r="D32" s="33" t="s">
        <v>448</v>
      </c>
      <c r="E32" s="33" t="s">
        <v>449</v>
      </c>
      <c r="F32" s="33" t="b">
        <f>TRUE()</f>
        <v>1</v>
      </c>
      <c r="G32" s="33">
        <v>10.0</v>
      </c>
      <c r="H32" s="24"/>
    </row>
    <row r="33" ht="18.0" customHeight="1">
      <c r="A33" s="23">
        <v>31.0</v>
      </c>
      <c r="B33" s="32">
        <v>11.0</v>
      </c>
      <c r="C33" s="24" t="s">
        <v>450</v>
      </c>
      <c r="D33" s="33" t="s">
        <v>451</v>
      </c>
      <c r="E33" s="33" t="s">
        <v>388</v>
      </c>
      <c r="F33" s="33" t="b">
        <f t="shared" ref="F33:F35" si="11">FALSE()</f>
        <v>0</v>
      </c>
      <c r="G33" s="33">
        <v>10.0</v>
      </c>
      <c r="H33" s="24" t="s">
        <v>452</v>
      </c>
    </row>
    <row r="34" ht="18.0" customHeight="1">
      <c r="A34" s="23">
        <v>32.0</v>
      </c>
      <c r="B34" s="32">
        <v>12.0</v>
      </c>
      <c r="C34" s="24" t="s">
        <v>453</v>
      </c>
      <c r="D34" s="33" t="s">
        <v>454</v>
      </c>
      <c r="E34" s="33" t="s">
        <v>455</v>
      </c>
      <c r="F34" s="33" t="b">
        <f t="shared" si="11"/>
        <v>0</v>
      </c>
      <c r="G34" s="33">
        <v>10.0</v>
      </c>
      <c r="H34" s="24"/>
    </row>
    <row r="35" ht="18.0" customHeight="1">
      <c r="A35" s="23">
        <v>33.0</v>
      </c>
      <c r="B35" s="32">
        <v>12.0</v>
      </c>
      <c r="C35" s="24" t="s">
        <v>456</v>
      </c>
      <c r="D35" s="33" t="s">
        <v>457</v>
      </c>
      <c r="E35" s="33" t="s">
        <v>455</v>
      </c>
      <c r="F35" s="33" t="b">
        <f t="shared" si="11"/>
        <v>0</v>
      </c>
      <c r="G35" s="33">
        <v>20.0</v>
      </c>
      <c r="H35" s="24"/>
    </row>
    <row r="36" ht="21.75" customHeight="1">
      <c r="A36" s="34" t="s">
        <v>458</v>
      </c>
      <c r="B36" s="30"/>
      <c r="C36" s="30"/>
      <c r="D36" s="30"/>
      <c r="E36" s="30"/>
      <c r="F36" s="30"/>
      <c r="G36" s="30"/>
      <c r="H36" s="31"/>
    </row>
    <row r="37" ht="18.0" customHeight="1">
      <c r="A37" s="35">
        <v>34.0</v>
      </c>
      <c r="B37" s="36">
        <v>13.0</v>
      </c>
      <c r="C37" s="37" t="s">
        <v>459</v>
      </c>
      <c r="D37" s="38" t="s">
        <v>376</v>
      </c>
      <c r="E37" s="38" t="s">
        <v>377</v>
      </c>
      <c r="F37" s="38" t="b">
        <f t="shared" ref="F37:F39" si="12">TRUE()</f>
        <v>1</v>
      </c>
      <c r="G37" s="38">
        <v>10.0</v>
      </c>
      <c r="H37" s="37"/>
    </row>
    <row r="38" ht="18.0" customHeight="1">
      <c r="A38" s="35">
        <v>35.0</v>
      </c>
      <c r="B38" s="36">
        <v>13.0</v>
      </c>
      <c r="C38" s="37" t="s">
        <v>460</v>
      </c>
      <c r="D38" s="38" t="s">
        <v>461</v>
      </c>
      <c r="E38" s="38" t="s">
        <v>388</v>
      </c>
      <c r="F38" s="38" t="b">
        <f t="shared" si="12"/>
        <v>1</v>
      </c>
      <c r="G38" s="38">
        <v>20.0</v>
      </c>
      <c r="H38" s="37"/>
    </row>
    <row r="39" ht="18.0" customHeight="1">
      <c r="A39" s="35">
        <v>36.0</v>
      </c>
      <c r="B39" s="36">
        <v>15.0</v>
      </c>
      <c r="C39" s="37" t="s">
        <v>462</v>
      </c>
      <c r="D39" s="38" t="s">
        <v>419</v>
      </c>
      <c r="E39" s="38" t="s">
        <v>420</v>
      </c>
      <c r="F39" s="38" t="b">
        <f t="shared" si="12"/>
        <v>1</v>
      </c>
      <c r="G39" s="38">
        <v>10.0</v>
      </c>
      <c r="H39" s="37" t="s">
        <v>463</v>
      </c>
    </row>
    <row r="40" ht="21.75" customHeight="1">
      <c r="A40" s="39" t="s">
        <v>464</v>
      </c>
      <c r="B40" s="30"/>
      <c r="C40" s="30"/>
      <c r="D40" s="30"/>
      <c r="E40" s="30"/>
      <c r="F40" s="30"/>
      <c r="G40" s="30"/>
      <c r="H40" s="31"/>
    </row>
    <row r="41" ht="18.0" customHeight="1">
      <c r="A41" s="40">
        <v>37.0</v>
      </c>
      <c r="B41" s="41">
        <v>16.0</v>
      </c>
      <c r="C41" s="42" t="s">
        <v>459</v>
      </c>
      <c r="D41" s="43" t="s">
        <v>376</v>
      </c>
      <c r="E41" s="43" t="s">
        <v>377</v>
      </c>
      <c r="F41" s="43" t="b">
        <f t="shared" ref="F41:F43" si="13">TRUE()</f>
        <v>1</v>
      </c>
      <c r="G41" s="43">
        <v>10.0</v>
      </c>
      <c r="H41" s="42"/>
    </row>
    <row r="42" ht="18.0" customHeight="1">
      <c r="A42" s="40">
        <v>38.0</v>
      </c>
      <c r="B42" s="41">
        <v>17.0</v>
      </c>
      <c r="C42" s="42" t="s">
        <v>465</v>
      </c>
      <c r="D42" s="43" t="s">
        <v>466</v>
      </c>
      <c r="E42" s="43" t="s">
        <v>388</v>
      </c>
      <c r="F42" s="43" t="b">
        <f t="shared" si="13"/>
        <v>1</v>
      </c>
      <c r="G42" s="43">
        <v>10.0</v>
      </c>
      <c r="H42" s="42" t="s">
        <v>467</v>
      </c>
    </row>
    <row r="43" ht="18.0" customHeight="1">
      <c r="A43" s="40">
        <v>39.0</v>
      </c>
      <c r="B43" s="41">
        <v>18.0</v>
      </c>
      <c r="C43" s="42" t="s">
        <v>468</v>
      </c>
      <c r="D43" s="43" t="s">
        <v>469</v>
      </c>
      <c r="E43" s="43" t="s">
        <v>377</v>
      </c>
      <c r="F43" s="43" t="b">
        <f t="shared" si="13"/>
        <v>1</v>
      </c>
      <c r="G43" s="43">
        <v>10.0</v>
      </c>
      <c r="H43" s="42"/>
    </row>
    <row r="44" ht="21.75" customHeight="1">
      <c r="A44" s="44" t="s">
        <v>470</v>
      </c>
      <c r="B44" s="30"/>
      <c r="C44" s="30"/>
      <c r="D44" s="30"/>
      <c r="E44" s="30"/>
      <c r="F44" s="30"/>
      <c r="G44" s="30"/>
      <c r="H44" s="31"/>
    </row>
    <row r="45" ht="18.0" customHeight="1">
      <c r="A45" s="45">
        <v>40.0</v>
      </c>
      <c r="B45" s="46">
        <v>19.0</v>
      </c>
      <c r="C45" s="47" t="s">
        <v>471</v>
      </c>
      <c r="D45" s="48" t="s">
        <v>472</v>
      </c>
      <c r="E45" s="48" t="s">
        <v>388</v>
      </c>
      <c r="F45" s="48" t="b">
        <f t="shared" ref="F45:F47" si="14">TRUE()</f>
        <v>1</v>
      </c>
      <c r="G45" s="48">
        <v>10.0</v>
      </c>
      <c r="H45" s="47"/>
    </row>
    <row r="46" ht="18.0" customHeight="1">
      <c r="A46" s="45">
        <v>41.0</v>
      </c>
      <c r="B46" s="46">
        <v>20.0</v>
      </c>
      <c r="C46" s="47" t="s">
        <v>473</v>
      </c>
      <c r="D46" s="48" t="s">
        <v>474</v>
      </c>
      <c r="E46" s="48" t="s">
        <v>413</v>
      </c>
      <c r="F46" s="48" t="b">
        <f t="shared" si="14"/>
        <v>1</v>
      </c>
      <c r="G46" s="48">
        <v>10.0</v>
      </c>
      <c r="H46" s="47"/>
    </row>
    <row r="47" ht="18.0" customHeight="1">
      <c r="A47" s="45">
        <v>42.0</v>
      </c>
      <c r="B47" s="46">
        <v>21.0</v>
      </c>
      <c r="C47" s="47" t="s">
        <v>462</v>
      </c>
      <c r="D47" s="48" t="s">
        <v>419</v>
      </c>
      <c r="E47" s="48" t="s">
        <v>420</v>
      </c>
      <c r="F47" s="48" t="b">
        <f t="shared" si="14"/>
        <v>1</v>
      </c>
      <c r="G47" s="48">
        <v>10.0</v>
      </c>
      <c r="H47" s="47" t="s">
        <v>475</v>
      </c>
    </row>
    <row r="48" ht="21.75" customHeight="1">
      <c r="A48" s="49" t="s">
        <v>476</v>
      </c>
      <c r="B48" s="30"/>
      <c r="C48" s="30"/>
      <c r="D48" s="30"/>
      <c r="E48" s="30"/>
      <c r="F48" s="30"/>
      <c r="G48" s="30"/>
      <c r="H48" s="31"/>
    </row>
    <row r="49" ht="18.0" customHeight="1">
      <c r="A49" s="50">
        <v>43.0</v>
      </c>
      <c r="B49" s="51">
        <v>22.0</v>
      </c>
      <c r="C49" s="52" t="s">
        <v>477</v>
      </c>
      <c r="D49" s="53" t="s">
        <v>478</v>
      </c>
      <c r="E49" s="53" t="s">
        <v>388</v>
      </c>
      <c r="F49" s="53" t="b">
        <f t="shared" ref="F49:F51" si="15">TRUE()</f>
        <v>1</v>
      </c>
      <c r="G49" s="53">
        <v>10.0</v>
      </c>
      <c r="H49" s="52" t="s">
        <v>479</v>
      </c>
    </row>
    <row r="50" ht="18.0" customHeight="1">
      <c r="A50" s="50">
        <v>44.0</v>
      </c>
      <c r="B50" s="51">
        <v>23.0</v>
      </c>
      <c r="C50" s="52" t="s">
        <v>480</v>
      </c>
      <c r="D50" s="53" t="s">
        <v>481</v>
      </c>
      <c r="E50" s="53" t="s">
        <v>381</v>
      </c>
      <c r="F50" s="53" t="b">
        <f t="shared" si="15"/>
        <v>1</v>
      </c>
      <c r="G50" s="53">
        <v>10.0</v>
      </c>
      <c r="H50" s="52"/>
    </row>
    <row r="51" ht="18.0" customHeight="1">
      <c r="A51" s="50">
        <v>45.0</v>
      </c>
      <c r="B51" s="51">
        <v>24.0</v>
      </c>
      <c r="C51" s="52" t="s">
        <v>482</v>
      </c>
      <c r="D51" s="53" t="s">
        <v>483</v>
      </c>
      <c r="E51" s="53" t="s">
        <v>420</v>
      </c>
      <c r="F51" s="53" t="b">
        <f t="shared" si="15"/>
        <v>1</v>
      </c>
      <c r="G51" s="53">
        <v>10.0</v>
      </c>
      <c r="H51" s="52"/>
    </row>
    <row r="52" ht="21.75" customHeight="1">
      <c r="A52" s="54" t="s">
        <v>484</v>
      </c>
      <c r="B52" s="30"/>
      <c r="C52" s="30"/>
      <c r="D52" s="30"/>
      <c r="E52" s="30"/>
      <c r="F52" s="30"/>
      <c r="G52" s="30"/>
      <c r="H52" s="31"/>
    </row>
    <row r="53" ht="18.0" customHeight="1">
      <c r="A53" s="55">
        <v>46.0</v>
      </c>
      <c r="B53" s="56">
        <v>25.0</v>
      </c>
      <c r="C53" s="57" t="s">
        <v>485</v>
      </c>
      <c r="D53" s="58" t="s">
        <v>486</v>
      </c>
      <c r="E53" s="58" t="s">
        <v>381</v>
      </c>
      <c r="F53" s="58" t="b">
        <f t="shared" ref="F53:F55" si="16">TRUE()</f>
        <v>1</v>
      </c>
      <c r="G53" s="58">
        <v>10.0</v>
      </c>
      <c r="H53" s="57"/>
    </row>
    <row r="54" ht="18.0" customHeight="1">
      <c r="A54" s="55">
        <v>47.0</v>
      </c>
      <c r="B54" s="56">
        <v>26.0</v>
      </c>
      <c r="C54" s="57" t="s">
        <v>487</v>
      </c>
      <c r="D54" s="58" t="s">
        <v>488</v>
      </c>
      <c r="E54" s="58" t="s">
        <v>413</v>
      </c>
      <c r="F54" s="58" t="b">
        <f t="shared" si="16"/>
        <v>1</v>
      </c>
      <c r="G54" s="58">
        <v>10.0</v>
      </c>
      <c r="H54" s="57"/>
    </row>
    <row r="55" ht="18.0" customHeight="1">
      <c r="A55" s="55">
        <v>48.0</v>
      </c>
      <c r="B55" s="56">
        <v>27.0</v>
      </c>
      <c r="C55" s="57" t="s">
        <v>462</v>
      </c>
      <c r="D55" s="58" t="s">
        <v>419</v>
      </c>
      <c r="E55" s="58" t="s">
        <v>420</v>
      </c>
      <c r="F55" s="58" t="b">
        <f t="shared" si="16"/>
        <v>1</v>
      </c>
      <c r="G55" s="58">
        <v>10.0</v>
      </c>
      <c r="H55" s="57"/>
    </row>
    <row r="56" ht="21.75" customHeight="1">
      <c r="A56" s="59" t="s">
        <v>489</v>
      </c>
      <c r="B56" s="30"/>
      <c r="C56" s="30"/>
      <c r="D56" s="30"/>
      <c r="E56" s="30"/>
      <c r="F56" s="30"/>
      <c r="G56" s="30"/>
      <c r="H56" s="31"/>
    </row>
    <row r="57" ht="18.0" customHeight="1">
      <c r="A57" s="60">
        <v>49.0</v>
      </c>
      <c r="B57" s="61">
        <v>28.0</v>
      </c>
      <c r="C57" s="62" t="s">
        <v>490</v>
      </c>
      <c r="D57" s="63" t="s">
        <v>491</v>
      </c>
      <c r="E57" s="63" t="s">
        <v>388</v>
      </c>
      <c r="F57" s="63" t="b">
        <f t="shared" ref="F57:F59" si="17">TRUE()</f>
        <v>1</v>
      </c>
      <c r="G57" s="63">
        <v>10.0</v>
      </c>
      <c r="H57" s="62" t="s">
        <v>329</v>
      </c>
    </row>
    <row r="58" ht="18.0" customHeight="1">
      <c r="A58" s="60">
        <v>50.0</v>
      </c>
      <c r="B58" s="61">
        <v>29.0</v>
      </c>
      <c r="C58" s="62" t="s">
        <v>492</v>
      </c>
      <c r="D58" s="63" t="s">
        <v>493</v>
      </c>
      <c r="E58" s="63" t="s">
        <v>388</v>
      </c>
      <c r="F58" s="63" t="b">
        <f t="shared" si="17"/>
        <v>1</v>
      </c>
      <c r="G58" s="63">
        <v>10.0</v>
      </c>
      <c r="H58" s="62" t="s">
        <v>494</v>
      </c>
    </row>
    <row r="59" ht="18.0" customHeight="1">
      <c r="A59" s="60">
        <v>51.0</v>
      </c>
      <c r="B59" s="61">
        <v>30.0</v>
      </c>
      <c r="C59" s="62" t="s">
        <v>462</v>
      </c>
      <c r="D59" s="63" t="s">
        <v>419</v>
      </c>
      <c r="E59" s="63" t="s">
        <v>420</v>
      </c>
      <c r="F59" s="63" t="b">
        <f t="shared" si="17"/>
        <v>1</v>
      </c>
      <c r="G59" s="63">
        <v>10.0</v>
      </c>
      <c r="H59" s="62"/>
    </row>
    <row r="60" ht="21.75" customHeight="1">
      <c r="A60" s="64" t="s">
        <v>495</v>
      </c>
      <c r="B60" s="30"/>
      <c r="C60" s="30"/>
      <c r="D60" s="30"/>
      <c r="E60" s="30"/>
      <c r="F60" s="30"/>
      <c r="G60" s="30"/>
      <c r="H60" s="31"/>
    </row>
    <row r="61" ht="18.0" customHeight="1">
      <c r="A61" s="65">
        <v>52.0</v>
      </c>
      <c r="B61" s="66">
        <v>31.0</v>
      </c>
      <c r="C61" s="67" t="s">
        <v>496</v>
      </c>
      <c r="D61" s="68" t="s">
        <v>497</v>
      </c>
      <c r="E61" s="68" t="s">
        <v>388</v>
      </c>
      <c r="F61" s="68" t="b">
        <f t="shared" ref="F61:F63" si="18">TRUE()</f>
        <v>1</v>
      </c>
      <c r="G61" s="68">
        <v>10.0</v>
      </c>
      <c r="H61" s="67" t="s">
        <v>498</v>
      </c>
    </row>
    <row r="62" ht="18.0" customHeight="1">
      <c r="A62" s="65">
        <v>53.0</v>
      </c>
      <c r="B62" s="66">
        <v>32.0</v>
      </c>
      <c r="C62" s="67" t="s">
        <v>499</v>
      </c>
      <c r="D62" s="68" t="s">
        <v>500</v>
      </c>
      <c r="E62" s="68" t="s">
        <v>377</v>
      </c>
      <c r="F62" s="68" t="b">
        <f t="shared" si="18"/>
        <v>1</v>
      </c>
      <c r="G62" s="68">
        <v>10.0</v>
      </c>
      <c r="H62" s="67"/>
    </row>
    <row r="63" ht="18.0" customHeight="1">
      <c r="A63" s="65">
        <v>54.0</v>
      </c>
      <c r="B63" s="66">
        <v>33.0</v>
      </c>
      <c r="C63" s="67" t="s">
        <v>462</v>
      </c>
      <c r="D63" s="68" t="s">
        <v>419</v>
      </c>
      <c r="E63" s="68" t="s">
        <v>420</v>
      </c>
      <c r="F63" s="68" t="b">
        <f t="shared" si="18"/>
        <v>1</v>
      </c>
      <c r="G63" s="68">
        <v>10.0</v>
      </c>
      <c r="H63" s="67"/>
    </row>
    <row r="64" ht="21.75" customHeight="1">
      <c r="A64" s="69" t="s">
        <v>501</v>
      </c>
      <c r="B64" s="30"/>
      <c r="C64" s="30"/>
      <c r="D64" s="30"/>
      <c r="E64" s="30"/>
      <c r="F64" s="30"/>
      <c r="G64" s="30"/>
      <c r="H64" s="31"/>
    </row>
    <row r="65" ht="18.0" customHeight="1">
      <c r="A65" s="26">
        <v>55.0</v>
      </c>
      <c r="B65" s="70">
        <v>34.0</v>
      </c>
      <c r="C65" s="27" t="s">
        <v>502</v>
      </c>
      <c r="D65" s="71" t="s">
        <v>503</v>
      </c>
      <c r="E65" s="71" t="s">
        <v>413</v>
      </c>
      <c r="F65" s="71" t="b">
        <f t="shared" ref="F65:F67" si="19">TRUE()</f>
        <v>1</v>
      </c>
      <c r="G65" s="71">
        <v>10.0</v>
      </c>
      <c r="H65" s="27" t="s">
        <v>504</v>
      </c>
    </row>
    <row r="66" ht="18.0" customHeight="1">
      <c r="A66" s="26">
        <v>56.0</v>
      </c>
      <c r="B66" s="70">
        <v>35.0</v>
      </c>
      <c r="C66" s="27" t="s">
        <v>505</v>
      </c>
      <c r="D66" s="71" t="s">
        <v>506</v>
      </c>
      <c r="E66" s="71" t="s">
        <v>420</v>
      </c>
      <c r="F66" s="71" t="b">
        <f t="shared" si="19"/>
        <v>1</v>
      </c>
      <c r="G66" s="71">
        <v>10.0</v>
      </c>
      <c r="H66" s="27"/>
    </row>
    <row r="67" ht="18.0" customHeight="1">
      <c r="A67" s="26">
        <v>57.0</v>
      </c>
      <c r="B67" s="70">
        <v>36.0</v>
      </c>
      <c r="C67" s="27" t="s">
        <v>392</v>
      </c>
      <c r="D67" s="71" t="s">
        <v>507</v>
      </c>
      <c r="E67" s="71" t="s">
        <v>381</v>
      </c>
      <c r="F67" s="71" t="b">
        <f t="shared" si="19"/>
        <v>1</v>
      </c>
      <c r="G67" s="71">
        <v>10.0</v>
      </c>
      <c r="H67" s="27"/>
    </row>
    <row r="68" ht="21.75" customHeight="1">
      <c r="A68" s="54" t="s">
        <v>508</v>
      </c>
      <c r="B68" s="30"/>
      <c r="C68" s="30"/>
      <c r="D68" s="30"/>
      <c r="E68" s="30"/>
      <c r="F68" s="30"/>
      <c r="G68" s="30"/>
      <c r="H68" s="31"/>
    </row>
    <row r="69" ht="18.0" customHeight="1">
      <c r="A69" s="55">
        <v>58.0</v>
      </c>
      <c r="B69" s="56">
        <v>37.0</v>
      </c>
      <c r="C69" s="57" t="s">
        <v>509</v>
      </c>
      <c r="D69" s="58" t="s">
        <v>510</v>
      </c>
      <c r="E69" s="58" t="s">
        <v>381</v>
      </c>
      <c r="F69" s="58" t="b">
        <f t="shared" ref="F69:F71" si="20">TRUE()</f>
        <v>1</v>
      </c>
      <c r="G69" s="58">
        <v>10.0</v>
      </c>
      <c r="H69" s="57"/>
    </row>
    <row r="70" ht="18.0" customHeight="1">
      <c r="A70" s="55">
        <v>59.0</v>
      </c>
      <c r="B70" s="56">
        <v>38.0</v>
      </c>
      <c r="C70" s="57" t="s">
        <v>511</v>
      </c>
      <c r="D70" s="58" t="s">
        <v>512</v>
      </c>
      <c r="E70" s="58" t="s">
        <v>381</v>
      </c>
      <c r="F70" s="58" t="b">
        <f t="shared" si="20"/>
        <v>1</v>
      </c>
      <c r="G70" s="58">
        <v>10.0</v>
      </c>
      <c r="H70" s="57" t="s">
        <v>349</v>
      </c>
    </row>
    <row r="71" ht="18.0" customHeight="1">
      <c r="A71" s="55">
        <v>60.0</v>
      </c>
      <c r="B71" s="56">
        <v>39.0</v>
      </c>
      <c r="C71" s="57" t="s">
        <v>513</v>
      </c>
      <c r="D71" s="58" t="s">
        <v>514</v>
      </c>
      <c r="E71" s="58" t="s">
        <v>420</v>
      </c>
      <c r="F71" s="58" t="b">
        <f t="shared" si="20"/>
        <v>1</v>
      </c>
      <c r="G71" s="58">
        <v>10.0</v>
      </c>
      <c r="H71" s="57"/>
    </row>
    <row r="72" ht="21.75" customHeight="1">
      <c r="A72" s="72" t="s">
        <v>515</v>
      </c>
      <c r="B72" s="30"/>
      <c r="C72" s="30"/>
      <c r="D72" s="30"/>
      <c r="E72" s="30"/>
      <c r="F72" s="30"/>
      <c r="G72" s="30"/>
      <c r="H72" s="31"/>
    </row>
    <row r="73" ht="18.0" customHeight="1">
      <c r="A73" s="73">
        <v>61.0</v>
      </c>
      <c r="B73" s="74">
        <v>40.0</v>
      </c>
      <c r="C73" s="75" t="s">
        <v>516</v>
      </c>
      <c r="D73" s="76" t="s">
        <v>517</v>
      </c>
      <c r="E73" s="76" t="s">
        <v>413</v>
      </c>
      <c r="F73" s="76" t="b">
        <f t="shared" ref="F73:F75" si="21">TRUE()</f>
        <v>1</v>
      </c>
      <c r="G73" s="76">
        <v>10.0</v>
      </c>
      <c r="H73" s="75" t="s">
        <v>518</v>
      </c>
    </row>
    <row r="74" ht="18.0" customHeight="1">
      <c r="A74" s="73">
        <v>62.0</v>
      </c>
      <c r="B74" s="74">
        <v>41.0</v>
      </c>
      <c r="C74" s="75" t="s">
        <v>519</v>
      </c>
      <c r="D74" s="76" t="s">
        <v>520</v>
      </c>
      <c r="E74" s="76" t="s">
        <v>388</v>
      </c>
      <c r="F74" s="76" t="b">
        <f t="shared" si="21"/>
        <v>1</v>
      </c>
      <c r="G74" s="76">
        <v>10.0</v>
      </c>
      <c r="H74" s="75"/>
    </row>
    <row r="75" ht="18.0" customHeight="1">
      <c r="A75" s="73">
        <v>63.0</v>
      </c>
      <c r="B75" s="74">
        <v>42.0</v>
      </c>
      <c r="C75" s="75" t="s">
        <v>462</v>
      </c>
      <c r="D75" s="76" t="s">
        <v>419</v>
      </c>
      <c r="E75" s="76" t="s">
        <v>420</v>
      </c>
      <c r="F75" s="76" t="b">
        <f t="shared" si="21"/>
        <v>1</v>
      </c>
      <c r="G75" s="76">
        <v>10.0</v>
      </c>
      <c r="H75" s="75"/>
    </row>
    <row r="76" ht="21.75" customHeight="1">
      <c r="A76" s="77" t="s">
        <v>521</v>
      </c>
      <c r="B76" s="30"/>
      <c r="C76" s="30"/>
      <c r="D76" s="30"/>
      <c r="E76" s="30"/>
      <c r="F76" s="30"/>
      <c r="G76" s="30"/>
      <c r="H76" s="31"/>
    </row>
    <row r="77" ht="18.0" customHeight="1">
      <c r="A77" s="78">
        <v>64.0</v>
      </c>
      <c r="B77" s="79">
        <v>43.0</v>
      </c>
      <c r="C77" s="80" t="s">
        <v>522</v>
      </c>
      <c r="D77" s="81" t="s">
        <v>523</v>
      </c>
      <c r="E77" s="81" t="s">
        <v>388</v>
      </c>
      <c r="F77" s="81" t="b">
        <f t="shared" ref="F77:F79" si="22">TRUE()</f>
        <v>1</v>
      </c>
      <c r="G77" s="81">
        <v>10.0</v>
      </c>
      <c r="H77" s="80" t="s">
        <v>329</v>
      </c>
    </row>
    <row r="78" ht="18.0" customHeight="1">
      <c r="A78" s="78">
        <v>65.0</v>
      </c>
      <c r="B78" s="79">
        <v>44.0</v>
      </c>
      <c r="C78" s="80" t="s">
        <v>524</v>
      </c>
      <c r="D78" s="81" t="s">
        <v>525</v>
      </c>
      <c r="E78" s="81" t="s">
        <v>388</v>
      </c>
      <c r="F78" s="81" t="b">
        <f t="shared" si="22"/>
        <v>1</v>
      </c>
      <c r="G78" s="81">
        <v>10.0</v>
      </c>
      <c r="H78" s="80" t="s">
        <v>518</v>
      </c>
    </row>
    <row r="79" ht="18.0" customHeight="1">
      <c r="A79" s="78">
        <v>66.0</v>
      </c>
      <c r="B79" s="79">
        <v>45.0</v>
      </c>
      <c r="C79" s="80" t="s">
        <v>526</v>
      </c>
      <c r="D79" s="81" t="s">
        <v>527</v>
      </c>
      <c r="E79" s="81" t="s">
        <v>388</v>
      </c>
      <c r="F79" s="81" t="b">
        <f t="shared" si="22"/>
        <v>1</v>
      </c>
      <c r="G79" s="81">
        <v>10.0</v>
      </c>
      <c r="H79" s="80" t="s">
        <v>498</v>
      </c>
    </row>
    <row r="80" ht="21.75" customHeight="1">
      <c r="A80" s="82" t="s">
        <v>528</v>
      </c>
      <c r="B80" s="30"/>
      <c r="C80" s="30"/>
      <c r="D80" s="30"/>
      <c r="E80" s="30"/>
      <c r="F80" s="30"/>
      <c r="G80" s="30"/>
      <c r="H80" s="31"/>
    </row>
    <row r="81" ht="18.0" customHeight="1">
      <c r="A81" s="83">
        <v>67.0</v>
      </c>
      <c r="B81" s="84">
        <v>46.0</v>
      </c>
      <c r="C81" s="85" t="s">
        <v>462</v>
      </c>
      <c r="D81" s="86" t="s">
        <v>419</v>
      </c>
      <c r="E81" s="86" t="s">
        <v>420</v>
      </c>
      <c r="F81" s="86" t="b">
        <f t="shared" ref="F81:F83" si="23">TRUE()</f>
        <v>1</v>
      </c>
      <c r="G81" s="86">
        <v>10.0</v>
      </c>
      <c r="H81" s="85"/>
    </row>
    <row r="82" ht="18.0" customHeight="1">
      <c r="A82" s="83">
        <v>68.0</v>
      </c>
      <c r="B82" s="84">
        <v>47.0</v>
      </c>
      <c r="C82" s="85" t="s">
        <v>529</v>
      </c>
      <c r="D82" s="86" t="s">
        <v>530</v>
      </c>
      <c r="E82" s="86" t="s">
        <v>430</v>
      </c>
      <c r="F82" s="86" t="b">
        <f t="shared" si="23"/>
        <v>1</v>
      </c>
      <c r="G82" s="86">
        <v>20.0</v>
      </c>
      <c r="H82" s="85"/>
    </row>
    <row r="83" ht="18.0" customHeight="1">
      <c r="A83" s="83">
        <v>69.0</v>
      </c>
      <c r="B83" s="84">
        <v>48.0</v>
      </c>
      <c r="C83" s="85" t="s">
        <v>441</v>
      </c>
      <c r="D83" s="86" t="s">
        <v>442</v>
      </c>
      <c r="E83" s="86" t="s">
        <v>388</v>
      </c>
      <c r="F83" s="86" t="b">
        <f t="shared" si="23"/>
        <v>1</v>
      </c>
      <c r="G83" s="86">
        <v>10.0</v>
      </c>
      <c r="H83" s="8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60:H60"/>
    <mergeCell ref="A64:H64"/>
    <mergeCell ref="A68:H68"/>
    <mergeCell ref="A72:H72"/>
    <mergeCell ref="A76:H76"/>
    <mergeCell ref="A80:H80"/>
    <mergeCell ref="A2:H2"/>
    <mergeCell ref="A36:H36"/>
    <mergeCell ref="A40:H40"/>
    <mergeCell ref="A44:H44"/>
    <mergeCell ref="A48:H48"/>
    <mergeCell ref="A52:H52"/>
    <mergeCell ref="A56:H56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10.0"/>
    <col customWidth="1" min="3" max="3" width="16.0"/>
    <col customWidth="1" min="4" max="4" width="28.0"/>
    <col customWidth="1" min="5" max="5" width="34.0"/>
    <col customWidth="1" min="6" max="6" width="8.0"/>
    <col customWidth="1" min="7" max="7" width="7.0"/>
    <col customWidth="1" min="8" max="8" width="12.0"/>
    <col customWidth="1" min="9" max="9" width="44.0"/>
    <col customWidth="1" min="10" max="26" width="8.71"/>
  </cols>
  <sheetData>
    <row r="1" ht="30.0" customHeight="1">
      <c r="A1" s="88" t="s">
        <v>531</v>
      </c>
      <c r="B1" s="88" t="s">
        <v>532</v>
      </c>
      <c r="C1" s="88" t="s">
        <v>107</v>
      </c>
      <c r="D1" s="88" t="s">
        <v>111</v>
      </c>
      <c r="E1" s="88" t="s">
        <v>115</v>
      </c>
      <c r="F1" s="88" t="s">
        <v>118</v>
      </c>
      <c r="G1" s="88" t="s">
        <v>59</v>
      </c>
      <c r="H1" s="88" t="s">
        <v>124</v>
      </c>
      <c r="I1" s="88" t="s">
        <v>98</v>
      </c>
    </row>
    <row r="2" ht="21.75" customHeight="1">
      <c r="A2" s="29" t="s">
        <v>533</v>
      </c>
      <c r="B2" s="30"/>
      <c r="C2" s="30"/>
      <c r="D2" s="30"/>
      <c r="E2" s="30"/>
      <c r="F2" s="30"/>
      <c r="G2" s="30"/>
      <c r="H2" s="30"/>
      <c r="I2" s="31"/>
    </row>
    <row r="3" ht="18.0" customHeight="1">
      <c r="A3" s="23">
        <v>1.0</v>
      </c>
      <c r="B3" s="32">
        <v>1.0</v>
      </c>
      <c r="C3" s="33">
        <v>0.002016</v>
      </c>
      <c r="D3" s="33" t="s">
        <v>534</v>
      </c>
      <c r="E3" s="33" t="s">
        <v>535</v>
      </c>
      <c r="F3" s="33">
        <v>2023.0</v>
      </c>
      <c r="G3" s="33">
        <v>1.0</v>
      </c>
      <c r="H3" s="33" t="s">
        <v>536</v>
      </c>
      <c r="I3" s="24" t="s">
        <v>537</v>
      </c>
    </row>
    <row r="4" ht="18.0" customHeight="1">
      <c r="A4" s="23">
        <v>2.0</v>
      </c>
      <c r="B4" s="32">
        <v>1.0</v>
      </c>
      <c r="C4" s="33">
        <v>0.04997</v>
      </c>
      <c r="D4" s="33" t="s">
        <v>538</v>
      </c>
      <c r="E4" s="33" t="s">
        <v>535</v>
      </c>
      <c r="F4" s="33">
        <v>2023.0</v>
      </c>
      <c r="G4" s="33">
        <v>1.0</v>
      </c>
      <c r="H4" s="33" t="s">
        <v>536</v>
      </c>
      <c r="I4" s="24" t="s">
        <v>539</v>
      </c>
    </row>
    <row r="5" ht="18.0" customHeight="1">
      <c r="A5" s="23">
        <v>3.0</v>
      </c>
      <c r="B5" s="32">
        <v>2.0</v>
      </c>
      <c r="C5" s="33">
        <v>1.554</v>
      </c>
      <c r="D5" s="33" t="s">
        <v>540</v>
      </c>
      <c r="E5" s="33" t="s">
        <v>535</v>
      </c>
      <c r="F5" s="33">
        <v>2023.0</v>
      </c>
      <c r="G5" s="33">
        <v>1.0</v>
      </c>
      <c r="H5" s="33" t="s">
        <v>536</v>
      </c>
      <c r="I5" s="24" t="s">
        <v>380</v>
      </c>
    </row>
    <row r="6" ht="18.0" customHeight="1">
      <c r="A6" s="23">
        <v>4.0</v>
      </c>
      <c r="B6" s="32">
        <v>3.0</v>
      </c>
      <c r="C6" s="33">
        <v>2.685</v>
      </c>
      <c r="D6" s="33" t="s">
        <v>540</v>
      </c>
      <c r="E6" s="33" t="s">
        <v>535</v>
      </c>
      <c r="F6" s="33">
        <v>2023.0</v>
      </c>
      <c r="G6" s="33">
        <v>1.0</v>
      </c>
      <c r="H6" s="33" t="s">
        <v>536</v>
      </c>
      <c r="I6" s="24" t="s">
        <v>383</v>
      </c>
    </row>
    <row r="7" ht="18.0" customHeight="1">
      <c r="A7" s="23">
        <v>5.0</v>
      </c>
      <c r="B7" s="32">
        <v>4.0</v>
      </c>
      <c r="C7" s="33">
        <v>2.96</v>
      </c>
      <c r="D7" s="33" t="s">
        <v>540</v>
      </c>
      <c r="E7" s="33" t="s">
        <v>535</v>
      </c>
      <c r="F7" s="33">
        <v>2023.0</v>
      </c>
      <c r="G7" s="33">
        <v>1.0</v>
      </c>
      <c r="H7" s="33" t="s">
        <v>536</v>
      </c>
      <c r="I7" s="24" t="s">
        <v>541</v>
      </c>
    </row>
    <row r="8" ht="18.0" customHeight="1">
      <c r="A8" s="23">
        <v>6.0</v>
      </c>
      <c r="B8" s="32">
        <v>5.0</v>
      </c>
      <c r="C8" s="33">
        <v>2.391</v>
      </c>
      <c r="D8" s="33" t="s">
        <v>542</v>
      </c>
      <c r="E8" s="33" t="s">
        <v>535</v>
      </c>
      <c r="F8" s="33">
        <v>2023.0</v>
      </c>
      <c r="G8" s="33">
        <v>1.0</v>
      </c>
      <c r="H8" s="33" t="s">
        <v>536</v>
      </c>
      <c r="I8" s="24" t="s">
        <v>387</v>
      </c>
    </row>
    <row r="9" ht="18.0" customHeight="1">
      <c r="A9" s="23">
        <v>7.0</v>
      </c>
      <c r="B9" s="32">
        <v>6.0</v>
      </c>
      <c r="C9" s="33">
        <v>0.0</v>
      </c>
      <c r="D9" s="33" t="s">
        <v>542</v>
      </c>
      <c r="E9" s="33" t="s">
        <v>543</v>
      </c>
      <c r="F9" s="33">
        <v>2023.0</v>
      </c>
      <c r="G9" s="33">
        <v>1.0</v>
      </c>
      <c r="H9" s="33" t="s">
        <v>536</v>
      </c>
      <c r="I9" s="24" t="s">
        <v>544</v>
      </c>
    </row>
    <row r="10" ht="18.0" customHeight="1">
      <c r="A10" s="23">
        <v>8.0</v>
      </c>
      <c r="B10" s="32">
        <v>7.0</v>
      </c>
      <c r="C10" s="33">
        <v>2.685</v>
      </c>
      <c r="D10" s="33" t="s">
        <v>540</v>
      </c>
      <c r="E10" s="33" t="s">
        <v>535</v>
      </c>
      <c r="F10" s="33">
        <v>2023.0</v>
      </c>
      <c r="G10" s="33">
        <v>1.0</v>
      </c>
      <c r="H10" s="33" t="s">
        <v>536</v>
      </c>
      <c r="I10" s="24" t="s">
        <v>545</v>
      </c>
    </row>
    <row r="11" ht="18.0" customHeight="1">
      <c r="A11" s="23">
        <v>9.0</v>
      </c>
      <c r="B11" s="32">
        <v>8.0</v>
      </c>
      <c r="C11" s="33">
        <v>2.331</v>
      </c>
      <c r="D11" s="33" t="s">
        <v>540</v>
      </c>
      <c r="E11" s="33" t="s">
        <v>535</v>
      </c>
      <c r="F11" s="33">
        <v>2023.0</v>
      </c>
      <c r="G11" s="33">
        <v>1.0</v>
      </c>
      <c r="H11" s="33" t="s">
        <v>536</v>
      </c>
      <c r="I11" s="24" t="s">
        <v>546</v>
      </c>
    </row>
    <row r="12" ht="18.0" customHeight="1">
      <c r="A12" s="23">
        <v>10.0</v>
      </c>
      <c r="B12" s="32">
        <v>9.0</v>
      </c>
      <c r="C12" s="33">
        <v>2.162</v>
      </c>
      <c r="D12" s="33" t="s">
        <v>542</v>
      </c>
      <c r="E12" s="33" t="s">
        <v>535</v>
      </c>
      <c r="F12" s="33">
        <v>2023.0</v>
      </c>
      <c r="G12" s="33">
        <v>1.0</v>
      </c>
      <c r="H12" s="33" t="s">
        <v>536</v>
      </c>
      <c r="I12" s="24" t="s">
        <v>547</v>
      </c>
    </row>
    <row r="13" ht="18.0" customHeight="1">
      <c r="A13" s="23">
        <v>11.0</v>
      </c>
      <c r="B13" s="32">
        <v>10.0</v>
      </c>
      <c r="C13" s="33">
        <v>1430.0</v>
      </c>
      <c r="D13" s="33" t="s">
        <v>542</v>
      </c>
      <c r="E13" s="33" t="s">
        <v>548</v>
      </c>
      <c r="F13" s="33">
        <v>2013.0</v>
      </c>
      <c r="G13" s="33">
        <v>1.0</v>
      </c>
      <c r="H13" s="33" t="s">
        <v>536</v>
      </c>
      <c r="I13" s="24" t="s">
        <v>549</v>
      </c>
    </row>
    <row r="14" ht="18.0" customHeight="1">
      <c r="A14" s="23">
        <v>12.0</v>
      </c>
      <c r="B14" s="32">
        <v>11.0</v>
      </c>
      <c r="C14" s="33">
        <v>1810.0</v>
      </c>
      <c r="D14" s="33" t="s">
        <v>542</v>
      </c>
      <c r="E14" s="33" t="s">
        <v>548</v>
      </c>
      <c r="F14" s="33">
        <v>2013.0</v>
      </c>
      <c r="G14" s="33">
        <v>1.0</v>
      </c>
      <c r="H14" s="33" t="s">
        <v>536</v>
      </c>
      <c r="I14" s="24" t="s">
        <v>550</v>
      </c>
    </row>
    <row r="15" ht="18.0" customHeight="1">
      <c r="A15" s="23">
        <v>13.0</v>
      </c>
      <c r="B15" s="32">
        <v>12.0</v>
      </c>
      <c r="C15" s="33">
        <v>2088.0</v>
      </c>
      <c r="D15" s="33" t="s">
        <v>542</v>
      </c>
      <c r="E15" s="33" t="s">
        <v>548</v>
      </c>
      <c r="F15" s="33">
        <v>2013.0</v>
      </c>
      <c r="G15" s="33">
        <v>1.0</v>
      </c>
      <c r="H15" s="33" t="s">
        <v>536</v>
      </c>
      <c r="I15" s="24" t="s">
        <v>551</v>
      </c>
    </row>
    <row r="16" ht="18.0" customHeight="1">
      <c r="A16" s="23">
        <v>14.0</v>
      </c>
      <c r="B16" s="32">
        <v>13.0</v>
      </c>
      <c r="C16" s="33">
        <v>1.0</v>
      </c>
      <c r="D16" s="33" t="s">
        <v>542</v>
      </c>
      <c r="E16" s="33" t="s">
        <v>548</v>
      </c>
      <c r="F16" s="33">
        <v>2013.0</v>
      </c>
      <c r="G16" s="33">
        <v>1.0</v>
      </c>
      <c r="H16" s="33" t="s">
        <v>536</v>
      </c>
      <c r="I16" s="24" t="s">
        <v>552</v>
      </c>
    </row>
    <row r="17" ht="18.0" customHeight="1">
      <c r="A17" s="23">
        <v>15.0</v>
      </c>
      <c r="B17" s="32">
        <v>14.0</v>
      </c>
      <c r="C17" s="33">
        <v>3220.0</v>
      </c>
      <c r="D17" s="33" t="s">
        <v>542</v>
      </c>
      <c r="E17" s="33" t="s">
        <v>548</v>
      </c>
      <c r="F17" s="33">
        <v>2013.0</v>
      </c>
      <c r="G17" s="33">
        <v>1.0</v>
      </c>
      <c r="H17" s="33" t="s">
        <v>536</v>
      </c>
      <c r="I17" s="24" t="s">
        <v>553</v>
      </c>
    </row>
    <row r="18" ht="18.0" customHeight="1">
      <c r="A18" s="23">
        <v>16.0</v>
      </c>
      <c r="B18" s="32">
        <v>15.0</v>
      </c>
      <c r="C18" s="33">
        <v>1.0</v>
      </c>
      <c r="D18" s="33" t="s">
        <v>554</v>
      </c>
      <c r="E18" s="33" t="s">
        <v>555</v>
      </c>
      <c r="F18" s="33">
        <v>2023.0</v>
      </c>
      <c r="G18" s="33">
        <v>1.0</v>
      </c>
      <c r="H18" s="33" t="s">
        <v>536</v>
      </c>
      <c r="I18" s="24" t="s">
        <v>556</v>
      </c>
    </row>
    <row r="19" ht="18.0" customHeight="1">
      <c r="A19" s="23">
        <v>17.0</v>
      </c>
      <c r="B19" s="32">
        <v>16.0</v>
      </c>
      <c r="C19" s="33">
        <v>265.0</v>
      </c>
      <c r="D19" s="33" t="s">
        <v>557</v>
      </c>
      <c r="E19" s="33" t="s">
        <v>548</v>
      </c>
      <c r="F19" s="33">
        <v>2013.0</v>
      </c>
      <c r="G19" s="33">
        <v>1.0</v>
      </c>
      <c r="H19" s="33" t="s">
        <v>536</v>
      </c>
      <c r="I19" s="24" t="s">
        <v>558</v>
      </c>
    </row>
    <row r="20" ht="18.0" customHeight="1">
      <c r="A20" s="23">
        <v>18.0</v>
      </c>
      <c r="B20" s="32">
        <v>17.0</v>
      </c>
      <c r="C20" s="33">
        <v>0.4999</v>
      </c>
      <c r="D20" s="33" t="s">
        <v>559</v>
      </c>
      <c r="E20" s="33" t="s">
        <v>560</v>
      </c>
      <c r="F20" s="33">
        <v>2023.0</v>
      </c>
      <c r="G20" s="33">
        <v>2.0</v>
      </c>
      <c r="H20" s="33" t="s">
        <v>536</v>
      </c>
      <c r="I20" s="24" t="s">
        <v>561</v>
      </c>
    </row>
    <row r="21" ht="18.0" customHeight="1">
      <c r="A21" s="23">
        <v>19.0</v>
      </c>
      <c r="B21" s="32">
        <v>18.0</v>
      </c>
      <c r="C21" s="33">
        <v>0.4999</v>
      </c>
      <c r="D21" s="33" t="s">
        <v>559</v>
      </c>
      <c r="E21" s="33" t="s">
        <v>560</v>
      </c>
      <c r="F21" s="33">
        <v>2023.0</v>
      </c>
      <c r="G21" s="33">
        <v>2.0</v>
      </c>
      <c r="H21" s="33" t="s">
        <v>536</v>
      </c>
      <c r="I21" s="24" t="s">
        <v>562</v>
      </c>
    </row>
    <row r="22" ht="18.0" customHeight="1">
      <c r="A22" s="23">
        <v>20.0</v>
      </c>
      <c r="B22" s="32">
        <v>19.0</v>
      </c>
      <c r="C22" s="33">
        <v>0.06</v>
      </c>
      <c r="D22" s="33" t="s">
        <v>563</v>
      </c>
      <c r="E22" s="33" t="s">
        <v>564</v>
      </c>
      <c r="F22" s="33">
        <v>2023.0</v>
      </c>
      <c r="G22" s="33">
        <v>2.0</v>
      </c>
      <c r="H22" s="33" t="s">
        <v>536</v>
      </c>
      <c r="I22" s="24" t="s">
        <v>565</v>
      </c>
    </row>
    <row r="23" ht="18.0" customHeight="1">
      <c r="A23" s="23">
        <v>21.0</v>
      </c>
      <c r="B23" s="32">
        <v>20.0</v>
      </c>
      <c r="C23" s="33">
        <v>0.05</v>
      </c>
      <c r="D23" s="33" t="s">
        <v>563</v>
      </c>
      <c r="E23" s="33" t="s">
        <v>564</v>
      </c>
      <c r="F23" s="33">
        <v>2023.0</v>
      </c>
      <c r="G23" s="33">
        <v>2.0</v>
      </c>
      <c r="H23" s="33" t="s">
        <v>536</v>
      </c>
      <c r="I23" s="24" t="s">
        <v>566</v>
      </c>
    </row>
    <row r="24" ht="18.0" customHeight="1">
      <c r="A24" s="23">
        <v>22.0</v>
      </c>
      <c r="B24" s="32">
        <v>21.0</v>
      </c>
      <c r="C24" s="33">
        <v>0.1554</v>
      </c>
      <c r="D24" s="33" t="s">
        <v>567</v>
      </c>
      <c r="E24" s="33" t="s">
        <v>568</v>
      </c>
      <c r="F24" s="33">
        <v>2023.0</v>
      </c>
      <c r="G24" s="33">
        <v>3.0</v>
      </c>
      <c r="H24" s="33" t="s">
        <v>536</v>
      </c>
      <c r="I24" s="24" t="s">
        <v>569</v>
      </c>
    </row>
    <row r="25" ht="18.0" customHeight="1">
      <c r="A25" s="23">
        <v>23.0</v>
      </c>
      <c r="B25" s="32">
        <v>22.0</v>
      </c>
      <c r="C25" s="33">
        <v>0.195</v>
      </c>
      <c r="D25" s="33" t="s">
        <v>567</v>
      </c>
      <c r="E25" s="33" t="s">
        <v>568</v>
      </c>
      <c r="F25" s="33">
        <v>2023.0</v>
      </c>
      <c r="G25" s="33">
        <v>3.0</v>
      </c>
      <c r="H25" s="33" t="s">
        <v>536</v>
      </c>
      <c r="I25" s="24" t="s">
        <v>570</v>
      </c>
    </row>
    <row r="26" ht="18.0" customHeight="1">
      <c r="A26" s="23">
        <v>24.0</v>
      </c>
      <c r="B26" s="32">
        <v>23.0</v>
      </c>
      <c r="C26" s="33">
        <v>0.171</v>
      </c>
      <c r="D26" s="33" t="s">
        <v>567</v>
      </c>
      <c r="E26" s="33" t="s">
        <v>535</v>
      </c>
      <c r="F26" s="33">
        <v>2023.0</v>
      </c>
      <c r="G26" s="33">
        <v>3.0</v>
      </c>
      <c r="H26" s="33" t="s">
        <v>536</v>
      </c>
      <c r="I26" s="24" t="s">
        <v>571</v>
      </c>
    </row>
    <row r="27" ht="18.0" customHeight="1">
      <c r="A27" s="23">
        <v>25.0</v>
      </c>
      <c r="B27" s="32">
        <v>24.0</v>
      </c>
      <c r="C27" s="33">
        <v>0.171</v>
      </c>
      <c r="D27" s="33" t="s">
        <v>567</v>
      </c>
      <c r="E27" s="33" t="s">
        <v>535</v>
      </c>
      <c r="F27" s="33">
        <v>2023.0</v>
      </c>
      <c r="G27" s="33">
        <v>3.0</v>
      </c>
      <c r="H27" s="33" t="s">
        <v>536</v>
      </c>
      <c r="I27" s="24" t="s">
        <v>571</v>
      </c>
    </row>
    <row r="28" ht="18.0" customHeight="1">
      <c r="A28" s="23">
        <v>26.0</v>
      </c>
      <c r="B28" s="32">
        <v>25.0</v>
      </c>
      <c r="C28" s="33">
        <v>0.041</v>
      </c>
      <c r="D28" s="33" t="s">
        <v>567</v>
      </c>
      <c r="E28" s="33" t="s">
        <v>572</v>
      </c>
      <c r="F28" s="33">
        <v>2023.0</v>
      </c>
      <c r="G28" s="33">
        <v>3.0</v>
      </c>
      <c r="H28" s="33" t="s">
        <v>536</v>
      </c>
      <c r="I28" s="24" t="s">
        <v>573</v>
      </c>
    </row>
    <row r="29" ht="18.0" customHeight="1">
      <c r="A29" s="23">
        <v>27.0</v>
      </c>
      <c r="B29" s="32">
        <v>26.0</v>
      </c>
      <c r="C29" s="33">
        <v>0.074</v>
      </c>
      <c r="D29" s="33" t="s">
        <v>567</v>
      </c>
      <c r="E29" s="33" t="s">
        <v>535</v>
      </c>
      <c r="F29" s="33">
        <v>2023.0</v>
      </c>
      <c r="G29" s="33">
        <v>3.0</v>
      </c>
      <c r="H29" s="33" t="s">
        <v>536</v>
      </c>
      <c r="I29" s="24" t="s">
        <v>440</v>
      </c>
    </row>
    <row r="30" ht="18.0" customHeight="1">
      <c r="A30" s="23">
        <v>28.0</v>
      </c>
      <c r="B30" s="32">
        <v>27.0</v>
      </c>
      <c r="C30" s="33">
        <v>5.2E-4</v>
      </c>
      <c r="D30" s="33" t="s">
        <v>574</v>
      </c>
      <c r="E30" s="33" t="s">
        <v>575</v>
      </c>
      <c r="F30" s="33">
        <v>2023.0</v>
      </c>
      <c r="G30" s="33">
        <v>3.0</v>
      </c>
      <c r="H30" s="33" t="s">
        <v>536</v>
      </c>
      <c r="I30" s="24" t="s">
        <v>576</v>
      </c>
    </row>
    <row r="31" ht="18.0" customHeight="1">
      <c r="A31" s="23">
        <v>29.0</v>
      </c>
      <c r="B31" s="32">
        <v>28.0</v>
      </c>
      <c r="C31" s="33">
        <v>6.3E-5</v>
      </c>
      <c r="D31" s="33" t="s">
        <v>574</v>
      </c>
      <c r="E31" s="33" t="s">
        <v>575</v>
      </c>
      <c r="F31" s="33">
        <v>2023.0</v>
      </c>
      <c r="G31" s="33">
        <v>3.0</v>
      </c>
      <c r="H31" s="33" t="s">
        <v>536</v>
      </c>
      <c r="I31" s="24" t="s">
        <v>577</v>
      </c>
    </row>
    <row r="32" ht="18.0" customHeight="1">
      <c r="A32" s="23">
        <v>30.0</v>
      </c>
      <c r="B32" s="32">
        <v>29.0</v>
      </c>
      <c r="C32" s="33">
        <v>0.0028</v>
      </c>
      <c r="D32" s="33" t="s">
        <v>574</v>
      </c>
      <c r="E32" s="33" t="s">
        <v>575</v>
      </c>
      <c r="F32" s="33">
        <v>2023.0</v>
      </c>
      <c r="G32" s="33">
        <v>3.0</v>
      </c>
      <c r="H32" s="33" t="s">
        <v>536</v>
      </c>
      <c r="I32" s="24" t="s">
        <v>578</v>
      </c>
    </row>
    <row r="33" ht="18.0" customHeight="1">
      <c r="A33" s="23">
        <v>31.0</v>
      </c>
      <c r="B33" s="32">
        <v>30.0</v>
      </c>
      <c r="C33" s="33">
        <v>3.44E-4</v>
      </c>
      <c r="D33" s="33" t="s">
        <v>538</v>
      </c>
      <c r="E33" s="33" t="s">
        <v>579</v>
      </c>
      <c r="F33" s="33">
        <v>2023.0</v>
      </c>
      <c r="G33" s="33">
        <v>3.0</v>
      </c>
      <c r="H33" s="33" t="s">
        <v>536</v>
      </c>
      <c r="I33" s="24" t="s">
        <v>580</v>
      </c>
    </row>
    <row r="34" ht="18.0" customHeight="1">
      <c r="A34" s="23">
        <v>32.0</v>
      </c>
      <c r="B34" s="32">
        <v>31.0</v>
      </c>
      <c r="C34" s="33">
        <v>0.0</v>
      </c>
      <c r="D34" s="33" t="s">
        <v>574</v>
      </c>
      <c r="E34" s="33" t="s">
        <v>581</v>
      </c>
      <c r="F34" s="33">
        <v>2023.0</v>
      </c>
      <c r="G34" s="33">
        <v>3.0</v>
      </c>
      <c r="H34" s="33" t="s">
        <v>536</v>
      </c>
      <c r="I34" s="24" t="s">
        <v>582</v>
      </c>
    </row>
    <row r="35" ht="18.0" customHeight="1">
      <c r="A35" s="23">
        <v>33.0</v>
      </c>
      <c r="B35" s="32">
        <v>32.0</v>
      </c>
      <c r="C35" s="33">
        <v>9.63E-5</v>
      </c>
      <c r="D35" s="33" t="s">
        <v>583</v>
      </c>
      <c r="E35" s="33" t="s">
        <v>584</v>
      </c>
      <c r="F35" s="33">
        <v>2023.0</v>
      </c>
      <c r="G35" s="33">
        <v>3.0</v>
      </c>
      <c r="H35" s="33" t="s">
        <v>536</v>
      </c>
      <c r="I35" s="24" t="s">
        <v>585</v>
      </c>
    </row>
    <row r="36" ht="18.0" customHeight="1">
      <c r="A36" s="23">
        <v>34.0</v>
      </c>
      <c r="B36" s="32">
        <v>33.0</v>
      </c>
      <c r="C36" s="33">
        <v>1.3E-5</v>
      </c>
      <c r="D36" s="33" t="s">
        <v>583</v>
      </c>
      <c r="E36" s="33" t="s">
        <v>584</v>
      </c>
      <c r="F36" s="33">
        <v>2023.0</v>
      </c>
      <c r="G36" s="33">
        <v>3.0</v>
      </c>
      <c r="H36" s="33" t="s">
        <v>536</v>
      </c>
      <c r="I36" s="24" t="s">
        <v>586</v>
      </c>
    </row>
    <row r="37" ht="21.75" customHeight="1">
      <c r="A37" s="34" t="s">
        <v>458</v>
      </c>
      <c r="B37" s="30"/>
      <c r="C37" s="30"/>
      <c r="D37" s="30"/>
      <c r="E37" s="30"/>
      <c r="F37" s="30"/>
      <c r="G37" s="30"/>
      <c r="H37" s="30"/>
      <c r="I37" s="31"/>
    </row>
    <row r="38" ht="18.0" customHeight="1">
      <c r="A38" s="35">
        <v>35.0</v>
      </c>
      <c r="B38" s="36">
        <v>34.0</v>
      </c>
      <c r="C38" s="38">
        <v>0.002016</v>
      </c>
      <c r="D38" s="38" t="s">
        <v>534</v>
      </c>
      <c r="E38" s="38" t="s">
        <v>535</v>
      </c>
      <c r="F38" s="38">
        <v>2023.0</v>
      </c>
      <c r="G38" s="38">
        <v>1.0</v>
      </c>
      <c r="H38" s="38" t="s">
        <v>536</v>
      </c>
      <c r="I38" s="37" t="s">
        <v>376</v>
      </c>
    </row>
    <row r="39" ht="18.0" customHeight="1">
      <c r="A39" s="35">
        <v>36.0</v>
      </c>
      <c r="B39" s="36">
        <v>35.0</v>
      </c>
      <c r="C39" s="38">
        <v>2.391</v>
      </c>
      <c r="D39" s="38" t="s">
        <v>542</v>
      </c>
      <c r="E39" s="38" t="s">
        <v>535</v>
      </c>
      <c r="F39" s="38">
        <v>2023.0</v>
      </c>
      <c r="G39" s="38">
        <v>1.0</v>
      </c>
      <c r="H39" s="38" t="s">
        <v>536</v>
      </c>
      <c r="I39" s="37" t="s">
        <v>461</v>
      </c>
    </row>
    <row r="40" ht="18.0" customHeight="1">
      <c r="A40" s="35">
        <v>37.0</v>
      </c>
      <c r="B40" s="36">
        <v>36.0</v>
      </c>
      <c r="C40" s="38">
        <v>0.4999</v>
      </c>
      <c r="D40" s="38" t="s">
        <v>559</v>
      </c>
      <c r="E40" s="38" t="s">
        <v>587</v>
      </c>
      <c r="F40" s="38">
        <v>2023.0</v>
      </c>
      <c r="G40" s="38">
        <v>2.0</v>
      </c>
      <c r="H40" s="38" t="s">
        <v>536</v>
      </c>
      <c r="I40" s="37" t="s">
        <v>588</v>
      </c>
    </row>
    <row r="41" ht="21.75" customHeight="1">
      <c r="A41" s="39" t="s">
        <v>464</v>
      </c>
      <c r="B41" s="30"/>
      <c r="C41" s="30"/>
      <c r="D41" s="30"/>
      <c r="E41" s="30"/>
      <c r="F41" s="30"/>
      <c r="G41" s="30"/>
      <c r="H41" s="30"/>
      <c r="I41" s="31"/>
    </row>
    <row r="42" ht="18.0" customHeight="1">
      <c r="A42" s="40">
        <v>38.0</v>
      </c>
      <c r="B42" s="41">
        <v>37.0</v>
      </c>
      <c r="C42" s="43">
        <v>0.002016</v>
      </c>
      <c r="D42" s="43" t="s">
        <v>534</v>
      </c>
      <c r="E42" s="43" t="s">
        <v>535</v>
      </c>
      <c r="F42" s="43">
        <v>2023.0</v>
      </c>
      <c r="G42" s="43">
        <v>1.0</v>
      </c>
      <c r="H42" s="43" t="s">
        <v>536</v>
      </c>
      <c r="I42" s="42" t="s">
        <v>376</v>
      </c>
    </row>
    <row r="43" ht="18.0" customHeight="1">
      <c r="A43" s="40">
        <v>39.0</v>
      </c>
      <c r="B43" s="41">
        <v>38.0</v>
      </c>
      <c r="C43" s="43">
        <v>28.0</v>
      </c>
      <c r="D43" s="43" t="s">
        <v>589</v>
      </c>
      <c r="E43" s="43" t="s">
        <v>548</v>
      </c>
      <c r="F43" s="43">
        <v>2013.0</v>
      </c>
      <c r="G43" s="43">
        <v>1.0</v>
      </c>
      <c r="H43" s="43" t="s">
        <v>536</v>
      </c>
      <c r="I43" s="42" t="s">
        <v>590</v>
      </c>
    </row>
    <row r="44" ht="18.0" customHeight="1">
      <c r="A44" s="40">
        <v>40.0</v>
      </c>
      <c r="B44" s="41">
        <v>39.0</v>
      </c>
      <c r="C44" s="43">
        <v>0.002016</v>
      </c>
      <c r="D44" s="43" t="s">
        <v>534</v>
      </c>
      <c r="E44" s="43" t="s">
        <v>535</v>
      </c>
      <c r="F44" s="43">
        <v>2023.0</v>
      </c>
      <c r="G44" s="43">
        <v>1.0</v>
      </c>
      <c r="H44" s="43" t="s">
        <v>536</v>
      </c>
      <c r="I44" s="42" t="s">
        <v>591</v>
      </c>
    </row>
    <row r="45" ht="21.75" customHeight="1">
      <c r="A45" s="44" t="s">
        <v>470</v>
      </c>
      <c r="B45" s="30"/>
      <c r="C45" s="30"/>
      <c r="D45" s="30"/>
      <c r="E45" s="30"/>
      <c r="F45" s="30"/>
      <c r="G45" s="30"/>
      <c r="H45" s="30"/>
      <c r="I45" s="31"/>
    </row>
    <row r="46" ht="18.0" customHeight="1">
      <c r="A46" s="45">
        <v>41.0</v>
      </c>
      <c r="B46" s="46">
        <v>40.0</v>
      </c>
      <c r="C46" s="48">
        <v>3.17</v>
      </c>
      <c r="D46" s="48" t="s">
        <v>542</v>
      </c>
      <c r="E46" s="48" t="s">
        <v>592</v>
      </c>
      <c r="F46" s="48">
        <v>2023.0</v>
      </c>
      <c r="G46" s="48">
        <v>1.0</v>
      </c>
      <c r="H46" s="48" t="s">
        <v>536</v>
      </c>
      <c r="I46" s="47" t="s">
        <v>593</v>
      </c>
    </row>
    <row r="47" ht="18.0" customHeight="1">
      <c r="A47" s="45">
        <v>42.0</v>
      </c>
      <c r="B47" s="46">
        <v>41.0</v>
      </c>
      <c r="C47" s="48">
        <v>1.0</v>
      </c>
      <c r="D47" s="48" t="s">
        <v>554</v>
      </c>
      <c r="E47" s="48" t="s">
        <v>555</v>
      </c>
      <c r="F47" s="48">
        <v>2023.0</v>
      </c>
      <c r="G47" s="48">
        <v>1.0</v>
      </c>
      <c r="H47" s="48" t="s">
        <v>536</v>
      </c>
      <c r="I47" s="47" t="s">
        <v>594</v>
      </c>
    </row>
    <row r="48" ht="18.0" customHeight="1">
      <c r="A48" s="45">
        <v>43.0</v>
      </c>
      <c r="B48" s="46">
        <v>42.0</v>
      </c>
      <c r="C48" s="48">
        <v>0.4999</v>
      </c>
      <c r="D48" s="48" t="s">
        <v>559</v>
      </c>
      <c r="E48" s="48" t="s">
        <v>587</v>
      </c>
      <c r="F48" s="48">
        <v>2023.0</v>
      </c>
      <c r="G48" s="48">
        <v>2.0</v>
      </c>
      <c r="H48" s="48" t="s">
        <v>536</v>
      </c>
      <c r="I48" s="47"/>
    </row>
    <row r="49" ht="21.75" customHeight="1">
      <c r="A49" s="49" t="s">
        <v>476</v>
      </c>
      <c r="B49" s="30"/>
      <c r="C49" s="30"/>
      <c r="D49" s="30"/>
      <c r="E49" s="30"/>
      <c r="F49" s="30"/>
      <c r="G49" s="30"/>
      <c r="H49" s="30"/>
      <c r="I49" s="31"/>
    </row>
    <row r="50" ht="18.0" customHeight="1">
      <c r="A50" s="50">
        <v>44.0</v>
      </c>
      <c r="B50" s="51">
        <v>43.0</v>
      </c>
      <c r="C50" s="53">
        <v>7390.0</v>
      </c>
      <c r="D50" s="53" t="s">
        <v>595</v>
      </c>
      <c r="E50" s="53" t="s">
        <v>548</v>
      </c>
      <c r="F50" s="53">
        <v>2013.0</v>
      </c>
      <c r="G50" s="53">
        <v>1.0</v>
      </c>
      <c r="H50" s="53" t="s">
        <v>536</v>
      </c>
      <c r="I50" s="52" t="s">
        <v>596</v>
      </c>
    </row>
    <row r="51" ht="18.0" customHeight="1">
      <c r="A51" s="50">
        <v>45.0</v>
      </c>
      <c r="B51" s="51">
        <v>44.0</v>
      </c>
      <c r="C51" s="53">
        <v>2.96</v>
      </c>
      <c r="D51" s="53" t="s">
        <v>540</v>
      </c>
      <c r="E51" s="53" t="s">
        <v>535</v>
      </c>
      <c r="F51" s="53">
        <v>2023.0</v>
      </c>
      <c r="G51" s="53">
        <v>1.0</v>
      </c>
      <c r="H51" s="53" t="s">
        <v>536</v>
      </c>
      <c r="I51" s="52" t="s">
        <v>385</v>
      </c>
    </row>
    <row r="52" ht="18.0" customHeight="1">
      <c r="A52" s="50">
        <v>46.0</v>
      </c>
      <c r="B52" s="51">
        <v>45.0</v>
      </c>
      <c r="C52" s="53">
        <v>0.4999</v>
      </c>
      <c r="D52" s="53" t="s">
        <v>559</v>
      </c>
      <c r="E52" s="53" t="s">
        <v>587</v>
      </c>
      <c r="F52" s="53">
        <v>2023.0</v>
      </c>
      <c r="G52" s="53">
        <v>2.0</v>
      </c>
      <c r="H52" s="53" t="s">
        <v>536</v>
      </c>
      <c r="I52" s="52"/>
    </row>
    <row r="53" ht="21.75" customHeight="1">
      <c r="A53" s="54" t="s">
        <v>484</v>
      </c>
      <c r="B53" s="30"/>
      <c r="C53" s="30"/>
      <c r="D53" s="30"/>
      <c r="E53" s="30"/>
      <c r="F53" s="30"/>
      <c r="G53" s="30"/>
      <c r="H53" s="30"/>
      <c r="I53" s="31"/>
    </row>
    <row r="54" ht="18.0" customHeight="1">
      <c r="A54" s="55">
        <v>47.0</v>
      </c>
      <c r="B54" s="56">
        <v>46.0</v>
      </c>
      <c r="C54" s="58">
        <v>2.685</v>
      </c>
      <c r="D54" s="58" t="s">
        <v>540</v>
      </c>
      <c r="E54" s="58" t="s">
        <v>535</v>
      </c>
      <c r="F54" s="58">
        <v>2023.0</v>
      </c>
      <c r="G54" s="58">
        <v>1.0</v>
      </c>
      <c r="H54" s="58" t="s">
        <v>536</v>
      </c>
      <c r="I54" s="57" t="s">
        <v>597</v>
      </c>
    </row>
    <row r="55" ht="18.0" customHeight="1">
      <c r="A55" s="55">
        <v>48.0</v>
      </c>
      <c r="B55" s="56">
        <v>47.0</v>
      </c>
      <c r="C55" s="58">
        <v>1.0</v>
      </c>
      <c r="D55" s="58" t="s">
        <v>554</v>
      </c>
      <c r="E55" s="58" t="s">
        <v>598</v>
      </c>
      <c r="F55" s="58">
        <v>2023.0</v>
      </c>
      <c r="G55" s="58">
        <v>1.0</v>
      </c>
      <c r="H55" s="58" t="s">
        <v>536</v>
      </c>
      <c r="I55" s="57" t="s">
        <v>599</v>
      </c>
    </row>
    <row r="56" ht="18.0" customHeight="1">
      <c r="A56" s="55">
        <v>49.0</v>
      </c>
      <c r="B56" s="56">
        <v>48.0</v>
      </c>
      <c r="C56" s="58">
        <v>0.4999</v>
      </c>
      <c r="D56" s="58" t="s">
        <v>559</v>
      </c>
      <c r="E56" s="58" t="s">
        <v>587</v>
      </c>
      <c r="F56" s="58">
        <v>2023.0</v>
      </c>
      <c r="G56" s="58">
        <v>2.0</v>
      </c>
      <c r="H56" s="58" t="s">
        <v>536</v>
      </c>
      <c r="I56" s="57"/>
    </row>
    <row r="57" ht="21.75" customHeight="1">
      <c r="A57" s="59" t="s">
        <v>489</v>
      </c>
      <c r="B57" s="30"/>
      <c r="C57" s="30"/>
      <c r="D57" s="30"/>
      <c r="E57" s="30"/>
      <c r="F57" s="30"/>
      <c r="G57" s="30"/>
      <c r="H57" s="30"/>
      <c r="I57" s="31"/>
    </row>
    <row r="58" ht="18.0" customHeight="1">
      <c r="A58" s="60">
        <v>50.0</v>
      </c>
      <c r="B58" s="61">
        <v>49.0</v>
      </c>
      <c r="C58" s="63">
        <v>0.0</v>
      </c>
      <c r="D58" s="63" t="s">
        <v>542</v>
      </c>
      <c r="E58" s="63" t="s">
        <v>600</v>
      </c>
      <c r="F58" s="63">
        <v>2023.0</v>
      </c>
      <c r="G58" s="63">
        <v>1.0</v>
      </c>
      <c r="H58" s="63" t="s">
        <v>536</v>
      </c>
      <c r="I58" s="62" t="s">
        <v>601</v>
      </c>
    </row>
    <row r="59" ht="18.0" customHeight="1">
      <c r="A59" s="60">
        <v>51.0</v>
      </c>
      <c r="B59" s="61">
        <v>50.0</v>
      </c>
      <c r="C59" s="63">
        <v>0.0</v>
      </c>
      <c r="D59" s="63" t="s">
        <v>602</v>
      </c>
      <c r="E59" s="63" t="s">
        <v>603</v>
      </c>
      <c r="F59" s="63">
        <v>2023.0</v>
      </c>
      <c r="G59" s="63">
        <v>1.0</v>
      </c>
      <c r="H59" s="63" t="s">
        <v>536</v>
      </c>
      <c r="I59" s="62" t="s">
        <v>604</v>
      </c>
    </row>
    <row r="60" ht="18.0" customHeight="1">
      <c r="A60" s="60">
        <v>52.0</v>
      </c>
      <c r="B60" s="61">
        <v>51.0</v>
      </c>
      <c r="C60" s="63">
        <v>0.4999</v>
      </c>
      <c r="D60" s="63" t="s">
        <v>559</v>
      </c>
      <c r="E60" s="63" t="s">
        <v>587</v>
      </c>
      <c r="F60" s="63">
        <v>2023.0</v>
      </c>
      <c r="G60" s="63">
        <v>2.0</v>
      </c>
      <c r="H60" s="63" t="s">
        <v>536</v>
      </c>
      <c r="I60" s="62"/>
    </row>
    <row r="61" ht="21.75" customHeight="1">
      <c r="A61" s="64" t="s">
        <v>495</v>
      </c>
      <c r="B61" s="30"/>
      <c r="C61" s="30"/>
      <c r="D61" s="30"/>
      <c r="E61" s="30"/>
      <c r="F61" s="30"/>
      <c r="G61" s="30"/>
      <c r="H61" s="30"/>
      <c r="I61" s="31"/>
    </row>
    <row r="62" ht="18.0" customHeight="1">
      <c r="A62" s="65">
        <v>53.0</v>
      </c>
      <c r="B62" s="66">
        <v>52.0</v>
      </c>
      <c r="C62" s="68">
        <v>265.0</v>
      </c>
      <c r="D62" s="68" t="s">
        <v>557</v>
      </c>
      <c r="E62" s="68" t="s">
        <v>548</v>
      </c>
      <c r="F62" s="68">
        <v>2013.0</v>
      </c>
      <c r="G62" s="68">
        <v>1.0</v>
      </c>
      <c r="H62" s="68" t="s">
        <v>536</v>
      </c>
      <c r="I62" s="67" t="s">
        <v>558</v>
      </c>
    </row>
    <row r="63" ht="18.0" customHeight="1">
      <c r="A63" s="65">
        <v>54.0</v>
      </c>
      <c r="B63" s="66">
        <v>53.0</v>
      </c>
      <c r="C63" s="68">
        <v>0.002016</v>
      </c>
      <c r="D63" s="68" t="s">
        <v>534</v>
      </c>
      <c r="E63" s="68" t="s">
        <v>535</v>
      </c>
      <c r="F63" s="68">
        <v>2023.0</v>
      </c>
      <c r="G63" s="68">
        <v>1.0</v>
      </c>
      <c r="H63" s="68" t="s">
        <v>536</v>
      </c>
      <c r="I63" s="67" t="s">
        <v>376</v>
      </c>
    </row>
    <row r="64" ht="18.0" customHeight="1">
      <c r="A64" s="65">
        <v>55.0</v>
      </c>
      <c r="B64" s="66">
        <v>54.0</v>
      </c>
      <c r="C64" s="68">
        <v>0.4999</v>
      </c>
      <c r="D64" s="68" t="s">
        <v>559</v>
      </c>
      <c r="E64" s="68" t="s">
        <v>587</v>
      </c>
      <c r="F64" s="68">
        <v>2023.0</v>
      </c>
      <c r="G64" s="68">
        <v>2.0</v>
      </c>
      <c r="H64" s="68" t="s">
        <v>536</v>
      </c>
      <c r="I64" s="67"/>
    </row>
    <row r="65" ht="21.75" customHeight="1">
      <c r="A65" s="69" t="s">
        <v>501</v>
      </c>
      <c r="B65" s="30"/>
      <c r="C65" s="30"/>
      <c r="D65" s="30"/>
      <c r="E65" s="30"/>
      <c r="F65" s="30"/>
      <c r="G65" s="30"/>
      <c r="H65" s="30"/>
      <c r="I65" s="31"/>
    </row>
    <row r="66" ht="18.0" customHeight="1">
      <c r="A66" s="26">
        <v>56.0</v>
      </c>
      <c r="B66" s="70">
        <v>55.0</v>
      </c>
      <c r="C66" s="71">
        <v>-1.0</v>
      </c>
      <c r="D66" s="71" t="s">
        <v>554</v>
      </c>
      <c r="E66" s="71" t="s">
        <v>605</v>
      </c>
      <c r="F66" s="71">
        <v>2023.0</v>
      </c>
      <c r="G66" s="71">
        <v>1.0</v>
      </c>
      <c r="H66" s="71" t="s">
        <v>536</v>
      </c>
      <c r="I66" s="27" t="s">
        <v>606</v>
      </c>
    </row>
    <row r="67" ht="18.0" customHeight="1">
      <c r="A67" s="26">
        <v>57.0</v>
      </c>
      <c r="B67" s="70">
        <v>56.0</v>
      </c>
      <c r="C67" s="71">
        <v>0.4999</v>
      </c>
      <c r="D67" s="71" t="s">
        <v>559</v>
      </c>
      <c r="E67" s="71" t="s">
        <v>587</v>
      </c>
      <c r="F67" s="71">
        <v>2023.0</v>
      </c>
      <c r="G67" s="71">
        <v>2.0</v>
      </c>
      <c r="H67" s="71" t="s">
        <v>536</v>
      </c>
      <c r="I67" s="27" t="s">
        <v>607</v>
      </c>
    </row>
    <row r="68" ht="18.0" customHeight="1">
      <c r="A68" s="26">
        <v>58.0</v>
      </c>
      <c r="B68" s="70">
        <v>57.0</v>
      </c>
      <c r="C68" s="71">
        <v>2.685</v>
      </c>
      <c r="D68" s="71" t="s">
        <v>540</v>
      </c>
      <c r="E68" s="71" t="s">
        <v>535</v>
      </c>
      <c r="F68" s="71">
        <v>2023.0</v>
      </c>
      <c r="G68" s="71">
        <v>1.0</v>
      </c>
      <c r="H68" s="71" t="s">
        <v>536</v>
      </c>
      <c r="I68" s="27" t="s">
        <v>383</v>
      </c>
    </row>
    <row r="69" ht="21.75" customHeight="1">
      <c r="A69" s="54" t="s">
        <v>508</v>
      </c>
      <c r="B69" s="30"/>
      <c r="C69" s="30"/>
      <c r="D69" s="30"/>
      <c r="E69" s="30"/>
      <c r="F69" s="30"/>
      <c r="G69" s="30"/>
      <c r="H69" s="30"/>
      <c r="I69" s="31"/>
    </row>
    <row r="70" ht="18.0" customHeight="1">
      <c r="A70" s="55">
        <v>59.0</v>
      </c>
      <c r="B70" s="56">
        <v>58.0</v>
      </c>
      <c r="C70" s="58">
        <v>2.685</v>
      </c>
      <c r="D70" s="58" t="s">
        <v>540</v>
      </c>
      <c r="E70" s="58" t="s">
        <v>535</v>
      </c>
      <c r="F70" s="58">
        <v>2023.0</v>
      </c>
      <c r="G70" s="58">
        <v>1.0</v>
      </c>
      <c r="H70" s="58" t="s">
        <v>536</v>
      </c>
      <c r="I70" s="57" t="s">
        <v>608</v>
      </c>
    </row>
    <row r="71" ht="18.0" customHeight="1">
      <c r="A71" s="55">
        <v>60.0</v>
      </c>
      <c r="B71" s="56">
        <v>59.0</v>
      </c>
      <c r="C71" s="58">
        <v>2.547</v>
      </c>
      <c r="D71" s="58" t="s">
        <v>540</v>
      </c>
      <c r="E71" s="58" t="s">
        <v>609</v>
      </c>
      <c r="F71" s="58">
        <v>2023.0</v>
      </c>
      <c r="G71" s="58">
        <v>1.0</v>
      </c>
      <c r="H71" s="58" t="s">
        <v>536</v>
      </c>
      <c r="I71" s="57" t="s">
        <v>610</v>
      </c>
    </row>
    <row r="72" ht="18.0" customHeight="1">
      <c r="A72" s="55">
        <v>61.0</v>
      </c>
      <c r="B72" s="56">
        <v>60.0</v>
      </c>
      <c r="C72" s="58">
        <v>0.4999</v>
      </c>
      <c r="D72" s="58" t="s">
        <v>559</v>
      </c>
      <c r="E72" s="58" t="s">
        <v>587</v>
      </c>
      <c r="F72" s="58">
        <v>2023.0</v>
      </c>
      <c r="G72" s="58">
        <v>2.0</v>
      </c>
      <c r="H72" s="58" t="s">
        <v>536</v>
      </c>
      <c r="I72" s="57" t="s">
        <v>611</v>
      </c>
    </row>
    <row r="73" ht="21.75" customHeight="1">
      <c r="A73" s="72" t="s">
        <v>515</v>
      </c>
      <c r="B73" s="30"/>
      <c r="C73" s="30"/>
      <c r="D73" s="30"/>
      <c r="E73" s="30"/>
      <c r="F73" s="30"/>
      <c r="G73" s="30"/>
      <c r="H73" s="30"/>
      <c r="I73" s="31"/>
    </row>
    <row r="74" ht="18.0" customHeight="1">
      <c r="A74" s="73">
        <v>62.0</v>
      </c>
      <c r="B74" s="74">
        <v>61.0</v>
      </c>
      <c r="C74" s="76">
        <v>28.0</v>
      </c>
      <c r="D74" s="76" t="s">
        <v>589</v>
      </c>
      <c r="E74" s="76" t="s">
        <v>548</v>
      </c>
      <c r="F74" s="76">
        <v>2013.0</v>
      </c>
      <c r="G74" s="76">
        <v>1.0</v>
      </c>
      <c r="H74" s="76" t="s">
        <v>536</v>
      </c>
      <c r="I74" s="75" t="s">
        <v>612</v>
      </c>
    </row>
    <row r="75" ht="18.0" customHeight="1">
      <c r="A75" s="73">
        <v>63.0</v>
      </c>
      <c r="B75" s="74">
        <v>62.0</v>
      </c>
      <c r="C75" s="76">
        <v>265.0</v>
      </c>
      <c r="D75" s="76" t="s">
        <v>557</v>
      </c>
      <c r="E75" s="76" t="s">
        <v>548</v>
      </c>
      <c r="F75" s="76">
        <v>2013.0</v>
      </c>
      <c r="G75" s="76">
        <v>1.0</v>
      </c>
      <c r="H75" s="76" t="s">
        <v>536</v>
      </c>
      <c r="I75" s="75" t="s">
        <v>613</v>
      </c>
    </row>
    <row r="76" ht="18.0" customHeight="1">
      <c r="A76" s="73">
        <v>64.0</v>
      </c>
      <c r="B76" s="74">
        <v>63.0</v>
      </c>
      <c r="C76" s="76">
        <v>0.4999</v>
      </c>
      <c r="D76" s="76" t="s">
        <v>559</v>
      </c>
      <c r="E76" s="76" t="s">
        <v>587</v>
      </c>
      <c r="F76" s="76">
        <v>2023.0</v>
      </c>
      <c r="G76" s="76">
        <v>2.0</v>
      </c>
      <c r="H76" s="76" t="s">
        <v>536</v>
      </c>
      <c r="I76" s="75"/>
    </row>
    <row r="77" ht="21.75" customHeight="1">
      <c r="A77" s="77" t="s">
        <v>521</v>
      </c>
      <c r="B77" s="30"/>
      <c r="C77" s="30"/>
      <c r="D77" s="30"/>
      <c r="E77" s="30"/>
      <c r="F77" s="30"/>
      <c r="G77" s="30"/>
      <c r="H77" s="30"/>
      <c r="I77" s="31"/>
    </row>
    <row r="78" ht="18.0" customHeight="1">
      <c r="A78" s="78">
        <v>65.0</v>
      </c>
      <c r="B78" s="79">
        <v>64.0</v>
      </c>
      <c r="C78" s="81">
        <v>0.0</v>
      </c>
      <c r="D78" s="81" t="s">
        <v>542</v>
      </c>
      <c r="E78" s="81" t="s">
        <v>600</v>
      </c>
      <c r="F78" s="81">
        <v>2023.0</v>
      </c>
      <c r="G78" s="81">
        <v>1.0</v>
      </c>
      <c r="H78" s="81" t="s">
        <v>536</v>
      </c>
      <c r="I78" s="80" t="s">
        <v>614</v>
      </c>
    </row>
    <row r="79" ht="18.0" customHeight="1">
      <c r="A79" s="78">
        <v>66.0</v>
      </c>
      <c r="B79" s="79">
        <v>65.0</v>
      </c>
      <c r="C79" s="81">
        <v>28.0</v>
      </c>
      <c r="D79" s="81" t="s">
        <v>589</v>
      </c>
      <c r="E79" s="81" t="s">
        <v>548</v>
      </c>
      <c r="F79" s="81">
        <v>2013.0</v>
      </c>
      <c r="G79" s="81">
        <v>1.0</v>
      </c>
      <c r="H79" s="81" t="s">
        <v>536</v>
      </c>
      <c r="I79" s="80" t="s">
        <v>615</v>
      </c>
    </row>
    <row r="80" ht="18.0" customHeight="1">
      <c r="A80" s="78">
        <v>67.0</v>
      </c>
      <c r="B80" s="79">
        <v>66.0</v>
      </c>
      <c r="C80" s="81">
        <v>265.0</v>
      </c>
      <c r="D80" s="81" t="s">
        <v>557</v>
      </c>
      <c r="E80" s="81" t="s">
        <v>548</v>
      </c>
      <c r="F80" s="81">
        <v>2013.0</v>
      </c>
      <c r="G80" s="81">
        <v>1.0</v>
      </c>
      <c r="H80" s="81" t="s">
        <v>536</v>
      </c>
      <c r="I80" s="80" t="s">
        <v>616</v>
      </c>
    </row>
    <row r="81" ht="21.75" customHeight="1">
      <c r="A81" s="82" t="s">
        <v>528</v>
      </c>
      <c r="B81" s="30"/>
      <c r="C81" s="30"/>
      <c r="D81" s="30"/>
      <c r="E81" s="30"/>
      <c r="F81" s="30"/>
      <c r="G81" s="30"/>
      <c r="H81" s="30"/>
      <c r="I81" s="31"/>
    </row>
    <row r="82" ht="18.0" customHeight="1">
      <c r="A82" s="83">
        <v>68.0</v>
      </c>
      <c r="B82" s="84">
        <v>67.0</v>
      </c>
      <c r="C82" s="86">
        <v>0.4999</v>
      </c>
      <c r="D82" s="86" t="s">
        <v>559</v>
      </c>
      <c r="E82" s="86" t="s">
        <v>587</v>
      </c>
      <c r="F82" s="86">
        <v>2023.0</v>
      </c>
      <c r="G82" s="86">
        <v>2.0</v>
      </c>
      <c r="H82" s="86" t="s">
        <v>536</v>
      </c>
      <c r="I82" s="85" t="s">
        <v>617</v>
      </c>
    </row>
    <row r="83" ht="18.0" customHeight="1">
      <c r="A83" s="83">
        <v>69.0</v>
      </c>
      <c r="B83" s="84">
        <v>68.0</v>
      </c>
      <c r="C83" s="86">
        <v>0.171</v>
      </c>
      <c r="D83" s="86" t="s">
        <v>567</v>
      </c>
      <c r="E83" s="86" t="s">
        <v>535</v>
      </c>
      <c r="F83" s="86">
        <v>2023.0</v>
      </c>
      <c r="G83" s="86">
        <v>3.0</v>
      </c>
      <c r="H83" s="86" t="s">
        <v>536</v>
      </c>
      <c r="I83" s="85" t="s">
        <v>618</v>
      </c>
    </row>
    <row r="84" ht="18.0" customHeight="1">
      <c r="A84" s="83">
        <v>70.0</v>
      </c>
      <c r="B84" s="84">
        <v>69.0</v>
      </c>
      <c r="C84" s="86">
        <v>5.2E-4</v>
      </c>
      <c r="D84" s="86" t="s">
        <v>574</v>
      </c>
      <c r="E84" s="86" t="s">
        <v>575</v>
      </c>
      <c r="F84" s="86">
        <v>2023.0</v>
      </c>
      <c r="G84" s="86">
        <v>3.0</v>
      </c>
      <c r="H84" s="86" t="s">
        <v>536</v>
      </c>
      <c r="I84" s="85" t="s">
        <v>619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61:I61"/>
    <mergeCell ref="A65:I65"/>
    <mergeCell ref="A69:I69"/>
    <mergeCell ref="A73:I73"/>
    <mergeCell ref="A77:I77"/>
    <mergeCell ref="A81:I81"/>
    <mergeCell ref="A2:I2"/>
    <mergeCell ref="A37:I37"/>
    <mergeCell ref="A41:I41"/>
    <mergeCell ref="A45:I45"/>
    <mergeCell ref="A49:I49"/>
    <mergeCell ref="A53:I53"/>
    <mergeCell ref="A57:I57"/>
  </mergeCells>
  <printOptions/>
  <pageMargins bottom="1.0" footer="0.0" header="0.0" left="0.75" right="0.75" top="1.0"/>
  <pageSetup paperSize="9" orientation="portrait"/>
  <drawing r:id="rId1"/>
</worksheet>
</file>